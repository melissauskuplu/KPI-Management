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lissa\Desktop\"/>
    </mc:Choice>
  </mc:AlternateContent>
  <xr:revisionPtr revIDLastSave="0" documentId="8_{1BEAC7D2-2155-4E70-A5E9-B80373E3C0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view" sheetId="1" r:id="rId1"/>
    <sheet name="2024" sheetId="2" r:id="rId2"/>
    <sheet name="2025" sheetId="3" r:id="rId3"/>
    <sheet name="B L A N K" sheetId="4" r:id="rId4"/>
    <sheet name="Setup" sheetId="5" r:id="rId5"/>
  </sheets>
  <calcPr calcId="181029"/>
  <fileRecoveryPr repairLoad="1"/>
</workbook>
</file>

<file path=xl/calcChain.xml><?xml version="1.0" encoding="utf-8"?>
<calcChain xmlns="http://schemas.openxmlformats.org/spreadsheetml/2006/main">
  <c r="I17" i="4" l="1"/>
  <c r="F17" i="4"/>
  <c r="E17" i="4"/>
  <c r="I16" i="4"/>
  <c r="F16" i="4"/>
  <c r="E16" i="4"/>
  <c r="I15" i="4"/>
  <c r="F15" i="4"/>
  <c r="E15" i="4"/>
  <c r="I14" i="4"/>
  <c r="F14" i="4"/>
  <c r="E14" i="4"/>
  <c r="I13" i="4"/>
  <c r="F13" i="4"/>
  <c r="E13" i="4"/>
  <c r="I12" i="4"/>
  <c r="F12" i="4"/>
  <c r="E12" i="4"/>
  <c r="I11" i="4"/>
  <c r="F11" i="4"/>
  <c r="E11" i="4"/>
  <c r="I10" i="4"/>
  <c r="F10" i="4"/>
  <c r="E10" i="4"/>
  <c r="I9" i="4"/>
  <c r="F9" i="4"/>
  <c r="E9" i="4"/>
  <c r="I8" i="4"/>
  <c r="F8" i="4"/>
  <c r="E8" i="4"/>
  <c r="I7" i="4"/>
  <c r="F7" i="4"/>
  <c r="E7" i="4"/>
  <c r="I6" i="4"/>
  <c r="F6" i="4"/>
  <c r="E6" i="4"/>
  <c r="I17" i="3"/>
  <c r="F17" i="3"/>
  <c r="E17" i="3"/>
  <c r="I16" i="3"/>
  <c r="F16" i="3"/>
  <c r="E16" i="3"/>
  <c r="I15" i="3"/>
  <c r="F15" i="3"/>
  <c r="E15" i="3"/>
  <c r="I14" i="3"/>
  <c r="F14" i="3"/>
  <c r="E14" i="3"/>
  <c r="I13" i="3"/>
  <c r="F13" i="3"/>
  <c r="E13" i="3"/>
  <c r="I12" i="3"/>
  <c r="F12" i="3"/>
  <c r="E12" i="3"/>
  <c r="I11" i="3"/>
  <c r="F11" i="3"/>
  <c r="E11" i="3"/>
  <c r="I10" i="3"/>
  <c r="F10" i="3"/>
  <c r="E10" i="3"/>
  <c r="I9" i="3"/>
  <c r="F9" i="3"/>
  <c r="E9" i="3"/>
  <c r="I8" i="3"/>
  <c r="F8" i="3"/>
  <c r="E8" i="3"/>
  <c r="I7" i="3"/>
  <c r="F7" i="3"/>
  <c r="E7" i="3"/>
  <c r="I6" i="3"/>
  <c r="F6" i="3"/>
  <c r="E6" i="3"/>
  <c r="I17" i="2"/>
  <c r="F17" i="2"/>
  <c r="E17" i="2"/>
  <c r="I16" i="2"/>
  <c r="F16" i="2"/>
  <c r="E16" i="2"/>
  <c r="I15" i="2"/>
  <c r="F15" i="2"/>
  <c r="E15" i="2"/>
  <c r="I14" i="2"/>
  <c r="F14" i="2"/>
  <c r="E14" i="2"/>
  <c r="I13" i="2"/>
  <c r="F13" i="2"/>
  <c r="E13" i="2"/>
  <c r="I12" i="2"/>
  <c r="F12" i="2"/>
  <c r="E12" i="2"/>
  <c r="I11" i="2"/>
  <c r="F11" i="2"/>
  <c r="E11" i="2"/>
  <c r="I10" i="2"/>
  <c r="F10" i="2"/>
  <c r="E10" i="2"/>
  <c r="I9" i="2"/>
  <c r="F9" i="2"/>
  <c r="E9" i="2"/>
  <c r="I8" i="2"/>
  <c r="F8" i="2"/>
  <c r="E8" i="2"/>
  <c r="I7" i="2"/>
  <c r="F7" i="2"/>
  <c r="E7" i="2"/>
  <c r="I6" i="2"/>
  <c r="F6" i="2"/>
  <c r="E6" i="2"/>
  <c r="C11" i="1" a="1"/>
  <c r="D22" i="1" l="1"/>
  <c r="C21" i="1"/>
  <c r="I19" i="1"/>
  <c r="H18" i="1"/>
  <c r="G17" i="1"/>
  <c r="F16" i="1"/>
  <c r="E15" i="1"/>
  <c r="D14" i="1"/>
  <c r="C13" i="1"/>
  <c r="I11" i="1"/>
  <c r="I22" i="1"/>
  <c r="H21" i="1"/>
  <c r="G20" i="1"/>
  <c r="F19" i="1"/>
  <c r="E18" i="1"/>
  <c r="D17" i="1"/>
  <c r="C16" i="1"/>
  <c r="I14" i="1"/>
  <c r="H13" i="1"/>
  <c r="G12" i="1"/>
  <c r="F11" i="1"/>
  <c r="F23" i="1" s="1"/>
  <c r="F21" i="1"/>
  <c r="D19" i="1"/>
  <c r="I16" i="1"/>
  <c r="G14" i="1"/>
  <c r="E12" i="1"/>
  <c r="F22" i="1"/>
  <c r="C19" i="1"/>
  <c r="G15" i="1"/>
  <c r="E13" i="1"/>
  <c r="I20" i="1"/>
  <c r="G18" i="1"/>
  <c r="E16" i="1"/>
  <c r="C14" i="1"/>
  <c r="H11" i="1"/>
  <c r="H23" i="1" s="1"/>
  <c r="I21" i="1"/>
  <c r="G19" i="1"/>
  <c r="F18" i="1"/>
  <c r="E17" i="1"/>
  <c r="D16" i="1"/>
  <c r="C15" i="1"/>
  <c r="I13" i="1"/>
  <c r="H12" i="1"/>
  <c r="G11" i="1"/>
  <c r="G23" i="1" s="1"/>
  <c r="I23" i="1" s="1"/>
  <c r="H22" i="1"/>
  <c r="G21" i="1"/>
  <c r="F20" i="1"/>
  <c r="E19" i="1"/>
  <c r="D18" i="1"/>
  <c r="C17" i="1"/>
  <c r="I15" i="1"/>
  <c r="H14" i="1"/>
  <c r="G13" i="1"/>
  <c r="F12" i="1"/>
  <c r="E11" i="1"/>
  <c r="G22" i="1"/>
  <c r="E20" i="1"/>
  <c r="C18" i="1"/>
  <c r="H15" i="1"/>
  <c r="F13" i="1"/>
  <c r="D11" i="1"/>
  <c r="D23" i="1" s="1"/>
  <c r="E21" i="1"/>
  <c r="D20" i="1"/>
  <c r="I17" i="1"/>
  <c r="H16" i="1"/>
  <c r="F14" i="1"/>
  <c r="D12" i="1"/>
  <c r="E22" i="1"/>
  <c r="D21" i="1"/>
  <c r="C20" i="1"/>
  <c r="I18" i="1"/>
  <c r="H17" i="1"/>
  <c r="G16" i="1"/>
  <c r="F15" i="1"/>
  <c r="E14" i="1"/>
  <c r="D13" i="1"/>
  <c r="C12" i="1"/>
  <c r="C11" i="1"/>
  <c r="C23" i="1" s="1"/>
  <c r="C22" i="1"/>
  <c r="H19" i="1"/>
  <c r="F17" i="1"/>
  <c r="D15" i="1"/>
  <c r="I12" i="1"/>
  <c r="H20" i="1"/>
  <c r="H7" i="1" l="1"/>
  <c r="E23" i="1"/>
  <c r="H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0000-000001000000}">
      <text>
        <r>
          <rPr>
            <sz val="12"/>
            <color theme="1"/>
            <rFont val="Calibri"/>
            <scheme val="minor"/>
          </rPr>
          <t>Manually enter he Name</t>
        </r>
      </text>
    </comment>
  </commentList>
</comments>
</file>

<file path=xl/sharedStrings.xml><?xml version="1.0" encoding="utf-8"?>
<sst xmlns="http://schemas.openxmlformats.org/spreadsheetml/2006/main" count="99" uniqueCount="35">
  <si>
    <r>
      <rPr>
        <b/>
        <sz val="30"/>
        <color rgb="FFF5F7F8"/>
        <rFont val="Barlow"/>
        <family val="3"/>
      </rPr>
      <t xml:space="preserve">K E Y  </t>
    </r>
    <r>
      <rPr>
        <b/>
        <sz val="30"/>
        <color rgb="FFF4CE14"/>
        <rFont val="Barlow"/>
        <family val="3"/>
      </rPr>
      <t xml:space="preserve"> P E R F O R M A N C E </t>
    </r>
    <r>
      <rPr>
        <b/>
        <sz val="30"/>
        <color rgb="FFF5F7F8"/>
        <rFont val="Barlow"/>
        <family val="3"/>
      </rPr>
      <t xml:space="preserve">  I N D I C A TO R</t>
    </r>
  </si>
  <si>
    <t xml:space="preserve">N A M E :   </t>
  </si>
  <si>
    <t>S T A N F O R D   B A L B A N E R S</t>
  </si>
  <si>
    <t xml:space="preserve">R E T U R N   O F   I N V E ST M E N T :   </t>
  </si>
  <si>
    <t xml:space="preserve">Y E A R :   </t>
  </si>
  <si>
    <t xml:space="preserve">E F F E C I E N C Y   L E V E L :   </t>
  </si>
  <si>
    <t>S A L E S   D A T A</t>
  </si>
  <si>
    <t>S A L A R Y   C O S T</t>
  </si>
  <si>
    <t>MONTH</t>
  </si>
  <si>
    <t>TARGET</t>
  </si>
  <si>
    <t>ACTUAL</t>
  </si>
  <si>
    <t>VARIANCE</t>
  </si>
  <si>
    <t>AVERAGE</t>
  </si>
  <si>
    <t>SALARY PAID</t>
  </si>
  <si>
    <t>INCENTIVE PAID</t>
  </si>
  <si>
    <t>TOTAL EARNED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</si>
  <si>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</si>
  <si>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</si>
  <si>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</si>
  <si>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</si>
  <si>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</si>
  <si>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</si>
  <si>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</si>
  <si>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</si>
  <si>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</si>
  <si>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</si>
  <si>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</si>
  <si>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</si>
  <si>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</si>
  <si>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2 0 2 4</t>
  </si>
  <si>
    <t>SALES DATA</t>
  </si>
  <si>
    <t>SALARY COST</t>
  </si>
  <si>
    <t>2 0 2 5</t>
  </si>
  <si>
    <t>[ Y E A R ]</t>
  </si>
  <si>
    <t>Y E A 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</si>
</sst>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&quot;$&quot;#,##0.00"/>
  </numFmts>
  <fonts count="31" x14ac:knownFonts="1">
    <font>
      <sz val="12"/>
      <color theme="1"/>
      <name val="Calibri"/>
      <scheme val="minor"/>
    </font>
    <font>
      <sz val="12"/>
      <color theme="1"/>
      <name val="Barlow"/>
      <family val="3"/>
    </font>
    <font>
      <b/>
      <sz val="22"/>
      <color rgb="FF595959"/>
      <name val="Barlow"/>
      <family val="3"/>
    </font>
    <font>
      <b/>
      <sz val="26"/>
      <color rgb="FF00B050"/>
      <name val="Barlow"/>
      <family val="3"/>
    </font>
    <font>
      <b/>
      <sz val="30"/>
      <color rgb="FFF5F7F8"/>
      <name val="Barlow"/>
      <family val="3"/>
    </font>
    <font>
      <sz val="12"/>
      <name val="Calibri"/>
      <family val="2"/>
      <charset val="162"/>
    </font>
    <font>
      <sz val="11"/>
      <color rgb="FF434343"/>
      <name val="Barlow"/>
      <family val="3"/>
    </font>
    <font>
      <b/>
      <sz val="14"/>
      <color rgb="FF434343"/>
      <name val="Barlow"/>
      <family val="3"/>
    </font>
    <font>
      <b/>
      <sz val="14"/>
      <color rgb="FFF4CE14"/>
      <name val="Barlow"/>
      <family val="3"/>
    </font>
    <font>
      <sz val="12"/>
      <color theme="1"/>
      <name val="Calibri"/>
      <family val="2"/>
      <charset val="162"/>
    </font>
    <font>
      <sz val="18"/>
      <color rgb="FFF5F7F8"/>
      <name val="Barlow"/>
      <family val="3"/>
    </font>
    <font>
      <sz val="18"/>
      <color rgb="FF595959"/>
      <name val="Barlow"/>
      <family val="3"/>
    </font>
    <font>
      <sz val="13"/>
      <color theme="1"/>
      <name val="Barlow"/>
      <family val="3"/>
    </font>
    <font>
      <sz val="15"/>
      <color rgb="FFF5F7F8"/>
      <name val="Barlow"/>
      <family val="3"/>
    </font>
    <font>
      <b/>
      <sz val="12"/>
      <color rgb="FF434343"/>
      <name val="Barlow"/>
      <family val="3"/>
    </font>
    <font>
      <sz val="10"/>
      <color rgb="FF434343"/>
      <name val="Barlow"/>
      <family val="3"/>
    </font>
    <font>
      <b/>
      <sz val="10"/>
      <color rgb="FF434343"/>
      <name val="Barlow"/>
      <family val="3"/>
    </font>
    <font>
      <b/>
      <sz val="14"/>
      <color theme="1"/>
      <name val="Barlow"/>
      <family val="3"/>
    </font>
    <font>
      <b/>
      <sz val="15"/>
      <color rgb="FFF4CE14"/>
      <name val="Barlow"/>
      <family val="3"/>
    </font>
    <font>
      <sz val="10"/>
      <color theme="0"/>
      <name val="Barlow"/>
      <family val="3"/>
    </font>
    <font>
      <sz val="10"/>
      <color theme="1"/>
      <name val="Barlow"/>
      <family val="3"/>
    </font>
    <font>
      <sz val="12"/>
      <color theme="1"/>
      <name val="Century Gothic"/>
      <family val="2"/>
      <charset val="162"/>
    </font>
    <font>
      <b/>
      <sz val="22"/>
      <color rgb="FF595959"/>
      <name val="Century Gothic"/>
      <family val="2"/>
      <charset val="162"/>
    </font>
    <font>
      <b/>
      <sz val="26"/>
      <color rgb="FF00B050"/>
      <name val="Century Gothic"/>
      <family val="2"/>
      <charset val="162"/>
    </font>
    <font>
      <sz val="12"/>
      <color theme="1"/>
      <name val="Arial"/>
      <family val="2"/>
      <charset val="162"/>
    </font>
    <font>
      <b/>
      <sz val="30"/>
      <color rgb="FFF4CE14"/>
      <name val="Barlow"/>
      <family val="3"/>
    </font>
    <font>
      <sz val="18"/>
      <color rgb="FF595959"/>
      <name val="Century Gothic"/>
      <family val="2"/>
      <charset val="162"/>
    </font>
    <font>
      <sz val="10"/>
      <color theme="0"/>
      <name val="Century Gothic"/>
      <family val="2"/>
      <charset val="162"/>
    </font>
    <font>
      <sz val="10"/>
      <color theme="1"/>
      <name val="Century Gothic"/>
      <family val="2"/>
      <charset val="162"/>
    </font>
    <font>
      <sz val="12"/>
      <color theme="1"/>
      <name val="Barlow"/>
      <family val="3"/>
    </font>
    <font>
      <sz val="12"/>
      <color rgb="FFF4CE14"/>
      <name val="Barlow"/>
      <family val="3"/>
    </font>
  </fonts>
  <fills count="6">
    <fill>
      <patternFill patternType="none"/>
    </fill>
    <fill>
      <patternFill patternType="gray125"/>
    </fill>
    <fill>
      <patternFill patternType="solid">
        <fgColor rgb="FF45474B"/>
        <bgColor rgb="FF45474B"/>
      </patternFill>
    </fill>
    <fill>
      <patternFill patternType="solid">
        <fgColor rgb="FFF5F7F8"/>
        <bgColor rgb="FFF5F7F8"/>
      </patternFill>
    </fill>
    <fill>
      <patternFill patternType="solid">
        <fgColor rgb="FF495E57"/>
        <bgColor rgb="FF495E57"/>
      </patternFill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 style="thin">
        <color rgb="FF45474B"/>
      </left>
      <right/>
      <top style="thin">
        <color rgb="FF45474B"/>
      </top>
      <bottom/>
      <diagonal/>
    </border>
    <border>
      <left/>
      <right/>
      <top style="thin">
        <color rgb="FF45474B"/>
      </top>
      <bottom/>
      <diagonal/>
    </border>
    <border>
      <left/>
      <right style="thin">
        <color rgb="FF45474B"/>
      </right>
      <top style="thin">
        <color rgb="FF45474B"/>
      </top>
      <bottom/>
      <diagonal/>
    </border>
    <border>
      <left style="thin">
        <color rgb="FF45474B"/>
      </left>
      <right/>
      <top/>
      <bottom/>
      <diagonal/>
    </border>
    <border>
      <left/>
      <right style="thin">
        <color rgb="FF45474B"/>
      </right>
      <top/>
      <bottom/>
      <diagonal/>
    </border>
    <border>
      <left style="thin">
        <color rgb="FF45474B"/>
      </left>
      <right/>
      <top style="thin">
        <color rgb="FF45474B"/>
      </top>
      <bottom style="thin">
        <color rgb="FF45474B"/>
      </bottom>
      <diagonal/>
    </border>
    <border>
      <left/>
      <right style="thin">
        <color rgb="FF45474B"/>
      </right>
      <top style="thin">
        <color rgb="FF45474B"/>
      </top>
      <bottom style="thin">
        <color rgb="FF45474B"/>
      </bottom>
      <diagonal/>
    </border>
    <border>
      <left style="thin">
        <color rgb="FF45474B"/>
      </left>
      <right style="thin">
        <color rgb="FF45474B"/>
      </right>
      <top style="thin">
        <color rgb="FF45474B"/>
      </top>
      <bottom style="thin">
        <color rgb="FF45474B"/>
      </bottom>
      <diagonal/>
    </border>
    <border>
      <left style="thin">
        <color rgb="FF45474B"/>
      </left>
      <right/>
      <top/>
      <bottom style="thin">
        <color rgb="FF45474B"/>
      </bottom>
      <diagonal/>
    </border>
    <border>
      <left/>
      <right/>
      <top/>
      <bottom style="thin">
        <color rgb="FF45474B"/>
      </bottom>
      <diagonal/>
    </border>
    <border>
      <left/>
      <right style="thin">
        <color rgb="FF45474B"/>
      </right>
      <top/>
      <bottom style="thin">
        <color rgb="FF45474B"/>
      </bottom>
      <diagonal/>
    </border>
    <border>
      <left style="thin">
        <color rgb="FF495E57"/>
      </left>
      <right/>
      <top/>
      <bottom/>
      <diagonal/>
    </border>
    <border>
      <left/>
      <right style="thin">
        <color rgb="FF495E57"/>
      </right>
      <top/>
      <bottom/>
      <diagonal/>
    </border>
    <border>
      <left style="thin">
        <color rgb="FF495E57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F3F3F3"/>
      </bottom>
      <diagonal/>
    </border>
    <border>
      <left style="thin">
        <color rgb="FFD9D9D9"/>
      </left>
      <right style="thin">
        <color rgb="FF495E57"/>
      </right>
      <top style="thin">
        <color rgb="FFD9D9D9"/>
      </top>
      <bottom style="thin">
        <color rgb="FFF3F3F3"/>
      </bottom>
      <diagonal/>
    </border>
    <border>
      <left style="thin">
        <color rgb="FFD9D9D9"/>
      </left>
      <right style="thin">
        <color rgb="FFD9D9D9"/>
      </right>
      <top style="thin">
        <color rgb="FFF3F3F3"/>
      </top>
      <bottom style="thin">
        <color rgb="FFF3F3F3"/>
      </bottom>
      <diagonal/>
    </border>
    <border>
      <left style="thin">
        <color rgb="FFD9D9D9"/>
      </left>
      <right style="thin">
        <color rgb="FF495E57"/>
      </right>
      <top style="thin">
        <color rgb="FFF3F3F3"/>
      </top>
      <bottom style="thin">
        <color rgb="FFF3F3F3"/>
      </bottom>
      <diagonal/>
    </border>
    <border>
      <left style="thin">
        <color rgb="FFD9D9D9"/>
      </left>
      <right style="thin">
        <color rgb="FFD9D9D9"/>
      </right>
      <top style="thin">
        <color rgb="FFF3F3F3"/>
      </top>
      <bottom style="thin">
        <color rgb="FFD9D9D9"/>
      </bottom>
      <diagonal/>
    </border>
    <border>
      <left style="thin">
        <color rgb="FFD9D9D9"/>
      </left>
      <right style="thin">
        <color rgb="FF495E57"/>
      </right>
      <top style="thin">
        <color rgb="FFF3F3F3"/>
      </top>
      <bottom style="thin">
        <color rgb="FFD9D9D9"/>
      </bottom>
      <diagonal/>
    </border>
    <border>
      <left style="thin">
        <color rgb="FF495E57"/>
      </left>
      <right/>
      <top/>
      <bottom style="thin">
        <color rgb="FF495E57"/>
      </bottom>
      <diagonal/>
    </border>
    <border>
      <left/>
      <right/>
      <top/>
      <bottom style="thin">
        <color rgb="FF495E57"/>
      </bottom>
      <diagonal/>
    </border>
    <border>
      <left/>
      <right style="thin">
        <color rgb="FF495E57"/>
      </right>
      <top/>
      <bottom style="thin">
        <color rgb="FF495E57"/>
      </bottom>
      <diagonal/>
    </border>
    <border>
      <left style="thin">
        <color rgb="FF495E57"/>
      </left>
      <right/>
      <top style="thin">
        <color rgb="FF495E57"/>
      </top>
      <bottom/>
      <diagonal/>
    </border>
    <border>
      <left/>
      <right/>
      <top style="thin">
        <color rgb="FF495E57"/>
      </top>
      <bottom/>
      <diagonal/>
    </border>
    <border>
      <left/>
      <right style="thin">
        <color rgb="FF495E57"/>
      </right>
      <top style="thin">
        <color rgb="FF495E57"/>
      </top>
      <bottom/>
      <diagonal/>
    </border>
    <border>
      <left style="thin">
        <color rgb="FF495E57"/>
      </left>
      <right style="thin">
        <color rgb="FFD9D9D9"/>
      </right>
      <top style="thin">
        <color rgb="FFD9D9D9"/>
      </top>
      <bottom style="thin">
        <color rgb="FF495E57"/>
      </bottom>
      <diagonal/>
    </border>
    <border>
      <left style="thin">
        <color rgb="FFD9D9D9"/>
      </left>
      <right style="thin">
        <color rgb="FFD9D9D9"/>
      </right>
      <top style="thin">
        <color rgb="FFF3F3F3"/>
      </top>
      <bottom style="thin">
        <color rgb="FF495E57"/>
      </bottom>
      <diagonal/>
    </border>
    <border>
      <left style="thin">
        <color rgb="FFD9D9D9"/>
      </left>
      <right style="thin">
        <color rgb="FFD9D9D9"/>
      </right>
      <top style="thin">
        <color rgb="FFF3F3F3"/>
      </top>
      <bottom style="thin">
        <color rgb="FF45474B"/>
      </bottom>
      <diagonal/>
    </border>
    <border>
      <left style="thin">
        <color rgb="FFD9D9D9"/>
      </left>
      <right style="thin">
        <color rgb="FF495E57"/>
      </right>
      <top style="thin">
        <color rgb="FFF3F3F3"/>
      </top>
      <bottom style="thin">
        <color rgb="FF495E57"/>
      </bottom>
      <diagonal/>
    </border>
    <border>
      <left style="thin">
        <color rgb="FF495E57"/>
      </left>
      <right style="thin">
        <color rgb="FF495E57"/>
      </right>
      <top style="thin">
        <color rgb="FF495E57"/>
      </top>
      <bottom/>
      <diagonal/>
    </border>
    <border>
      <left style="thin">
        <color rgb="FF495E57"/>
      </left>
      <right style="thin">
        <color rgb="FF495E57"/>
      </right>
      <top/>
      <bottom style="thin">
        <color rgb="FFF3F3F3"/>
      </bottom>
      <diagonal/>
    </border>
    <border>
      <left style="thin">
        <color rgb="FF495E57"/>
      </left>
      <right style="thin">
        <color rgb="FF495E57"/>
      </right>
      <top style="thin">
        <color rgb="FFF3F3F3"/>
      </top>
      <bottom style="thin">
        <color rgb="FFF3F3F3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4" xfId="0" applyFont="1" applyFill="1" applyBorder="1" applyAlignment="1">
      <alignment horizontal="right" vertical="center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right" vertical="center"/>
    </xf>
    <xf numFmtId="9" fontId="7" fillId="3" borderId="0" xfId="0" applyNumberFormat="1" applyFont="1" applyFill="1" applyAlignment="1">
      <alignment horizontal="center" vertical="center"/>
    </xf>
    <xf numFmtId="2" fontId="7" fillId="3" borderId="5" xfId="0" applyNumberFormat="1" applyFont="1" applyFill="1" applyBorder="1" applyAlignment="1">
      <alignment horizontal="center" vertical="center"/>
    </xf>
    <xf numFmtId="0" fontId="9" fillId="3" borderId="0" xfId="0" applyFont="1" applyFill="1"/>
    <xf numFmtId="10" fontId="8" fillId="4" borderId="8" xfId="0" applyNumberFormat="1" applyFont="1" applyFill="1" applyBorder="1" applyAlignment="1">
      <alignment horizontal="center" vertical="center"/>
    </xf>
    <xf numFmtId="0" fontId="9" fillId="3" borderId="5" xfId="0" applyFont="1" applyFill="1" applyBorder="1"/>
    <xf numFmtId="9" fontId="8" fillId="4" borderId="8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4" borderId="12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left" vertical="center" wrapText="1"/>
    </xf>
    <xf numFmtId="164" fontId="15" fillId="5" borderId="15" xfId="0" applyNumberFormat="1" applyFont="1" applyFill="1" applyBorder="1" applyAlignment="1">
      <alignment horizontal="center" vertical="center" wrapText="1"/>
    </xf>
    <xf numFmtId="164" fontId="16" fillId="5" borderId="15" xfId="0" applyNumberFormat="1" applyFont="1" applyFill="1" applyBorder="1" applyAlignment="1">
      <alignment horizontal="center" vertical="center" wrapText="1"/>
    </xf>
    <xf numFmtId="164" fontId="15" fillId="5" borderId="16" xfId="0" applyNumberFormat="1" applyFont="1" applyFill="1" applyBorder="1" applyAlignment="1">
      <alignment horizontal="center" vertical="center" wrapText="1"/>
    </xf>
    <xf numFmtId="164" fontId="15" fillId="5" borderId="17" xfId="0" applyNumberFormat="1" applyFont="1" applyFill="1" applyBorder="1" applyAlignment="1">
      <alignment horizontal="center" vertical="center" wrapText="1"/>
    </xf>
    <xf numFmtId="164" fontId="16" fillId="5" borderId="17" xfId="0" applyNumberFormat="1" applyFont="1" applyFill="1" applyBorder="1" applyAlignment="1">
      <alignment horizontal="center" vertical="center" wrapText="1"/>
    </xf>
    <xf numFmtId="164" fontId="15" fillId="5" borderId="18" xfId="0" applyNumberFormat="1" applyFont="1" applyFill="1" applyBorder="1" applyAlignment="1">
      <alignment horizontal="center" vertical="center" wrapText="1"/>
    </xf>
    <xf numFmtId="164" fontId="15" fillId="5" borderId="19" xfId="0" applyNumberFormat="1" applyFont="1" applyFill="1" applyBorder="1" applyAlignment="1">
      <alignment horizontal="center" vertical="center" wrapText="1"/>
    </xf>
    <xf numFmtId="164" fontId="16" fillId="5" borderId="19" xfId="0" applyNumberFormat="1" applyFont="1" applyFill="1" applyBorder="1" applyAlignment="1">
      <alignment horizontal="center" vertical="center" wrapText="1"/>
    </xf>
    <xf numFmtId="164" fontId="15" fillId="5" borderId="20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8" fillId="2" borderId="21" xfId="0" applyFont="1" applyFill="1" applyBorder="1" applyAlignment="1">
      <alignment horizontal="left" vertical="center" wrapText="1"/>
    </xf>
    <xf numFmtId="165" fontId="18" fillId="2" borderId="22" xfId="0" applyNumberFormat="1" applyFont="1" applyFill="1" applyBorder="1" applyAlignment="1">
      <alignment horizontal="center" vertical="center" wrapText="1"/>
    </xf>
    <xf numFmtId="165" fontId="18" fillId="2" borderId="23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 vertical="center" wrapText="1"/>
    </xf>
    <xf numFmtId="9" fontId="20" fillId="0" borderId="0" xfId="0" applyNumberFormat="1" applyFont="1" applyAlignment="1">
      <alignment horizontal="right" vertical="center" wrapText="1"/>
    </xf>
    <xf numFmtId="0" fontId="21" fillId="0" borderId="0" xfId="0" applyFont="1"/>
    <xf numFmtId="0" fontId="22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4" fillId="0" borderId="0" xfId="0" applyFont="1"/>
    <xf numFmtId="0" fontId="10" fillId="2" borderId="0" xfId="0" applyFont="1" applyFill="1" applyAlignment="1">
      <alignment horizontal="center" vertical="center"/>
    </xf>
    <xf numFmtId="0" fontId="26" fillId="0" borderId="0" xfId="0" applyFont="1" applyAlignment="1">
      <alignment horizontal="left"/>
    </xf>
    <xf numFmtId="0" fontId="13" fillId="4" borderId="24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 wrapText="1"/>
    </xf>
    <xf numFmtId="164" fontId="16" fillId="5" borderId="16" xfId="0" applyNumberFormat="1" applyFont="1" applyFill="1" applyBorder="1" applyAlignment="1">
      <alignment horizontal="center" vertical="center" wrapText="1"/>
    </xf>
    <xf numFmtId="164" fontId="16" fillId="5" borderId="18" xfId="0" applyNumberFormat="1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left" vertical="center" wrapText="1"/>
    </xf>
    <xf numFmtId="164" fontId="15" fillId="5" borderId="28" xfId="0" applyNumberFormat="1" applyFont="1" applyFill="1" applyBorder="1" applyAlignment="1">
      <alignment horizontal="center" vertical="center" wrapText="1"/>
    </xf>
    <xf numFmtId="164" fontId="16" fillId="5" borderId="28" xfId="0" applyNumberFormat="1" applyFont="1" applyFill="1" applyBorder="1" applyAlignment="1">
      <alignment horizontal="center" vertical="center" wrapText="1"/>
    </xf>
    <xf numFmtId="164" fontId="15" fillId="5" borderId="29" xfId="0" applyNumberFormat="1" applyFont="1" applyFill="1" applyBorder="1" applyAlignment="1">
      <alignment horizontal="center" vertical="center" wrapText="1"/>
    </xf>
    <xf numFmtId="164" fontId="16" fillId="5" borderId="30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right" vertical="center" wrapText="1"/>
    </xf>
    <xf numFmtId="9" fontId="28" fillId="0" borderId="0" xfId="0" applyNumberFormat="1" applyFont="1" applyAlignment="1">
      <alignment horizontal="right" vertical="center" wrapText="1"/>
    </xf>
    <xf numFmtId="0" fontId="29" fillId="0" borderId="0" xfId="0" applyFont="1" applyAlignment="1">
      <alignment horizontal="center" vertical="center"/>
    </xf>
    <xf numFmtId="0" fontId="30" fillId="2" borderId="31" xfId="0" applyFont="1" applyFill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0" fillId="0" borderId="0" xfId="0"/>
    <xf numFmtId="0" fontId="5" fillId="0" borderId="5" xfId="0" applyFont="1" applyBorder="1"/>
    <xf numFmtId="0" fontId="8" fillId="4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10" fillId="2" borderId="10" xfId="0" applyFont="1" applyFill="1" applyBorder="1" applyAlignment="1">
      <alignment horizontal="center" vertical="center"/>
    </xf>
    <xf numFmtId="0" fontId="5" fillId="0" borderId="10" xfId="0" applyFont="1" applyBorder="1"/>
    <xf numFmtId="0" fontId="5" fillId="0" borderId="11" xfId="0" applyFont="1" applyBorder="1"/>
    <xf numFmtId="0" fontId="25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29">
    <dxf>
      <font>
        <color theme="9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theme="9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theme="9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solid">
          <fgColor rgb="FF495E57"/>
          <bgColor rgb="FF495E57"/>
        </patternFill>
      </fill>
    </dxf>
    <dxf>
      <font>
        <color rgb="FFFF0000"/>
      </font>
      <fill>
        <patternFill patternType="solid">
          <fgColor rgb="FF495E57"/>
          <bgColor rgb="FF495E57"/>
        </patternFill>
      </fill>
    </dxf>
    <dxf>
      <font>
        <color rgb="FFFF9900"/>
      </font>
      <fill>
        <patternFill patternType="solid">
          <fgColor rgb="FF495E57"/>
          <bgColor rgb="FF495E57"/>
        </patternFill>
      </fill>
    </dxf>
    <dxf>
      <font>
        <color rgb="FFFFFF00"/>
      </font>
      <fill>
        <patternFill patternType="solid">
          <fgColor rgb="FF495E57"/>
          <bgColor rgb="FF495E57"/>
        </patternFill>
      </fill>
    </dxf>
    <dxf>
      <font>
        <color rgb="FF00FF00"/>
      </font>
      <fill>
        <patternFill patternType="solid">
          <fgColor rgb="FF495E57"/>
          <bgColor rgb="FF495E57"/>
        </patternFill>
      </fill>
    </dxf>
    <dxf>
      <font>
        <color rgb="FFFF0000"/>
      </font>
      <fill>
        <patternFill patternType="solid">
          <fgColor rgb="FF495E57"/>
          <bgColor rgb="FF495E57"/>
        </patternFill>
      </fill>
    </dxf>
    <dxf>
      <font>
        <color rgb="FF00FF00"/>
      </font>
      <fill>
        <patternFill patternType="solid">
          <fgColor rgb="FF495E57"/>
          <bgColor rgb="FF495E57"/>
        </patternFill>
      </fill>
    </dxf>
    <dxf>
      <font>
        <color theme="9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4C4C"/>
      </font>
      <fill>
        <patternFill patternType="solid">
          <fgColor rgb="FF45474B"/>
          <bgColor rgb="FF45474B"/>
        </patternFill>
      </fill>
    </dxf>
    <dxf>
      <font>
        <color rgb="FF00FF00"/>
      </font>
      <fill>
        <patternFill patternType="solid">
          <fgColor rgb="FF45474B"/>
          <bgColor rgb="FF45474B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</dxfs>
  <tableStyles count="4">
    <tableStyle name="Overview-style" pivot="0" count="3" xr9:uid="{00000000-0011-0000-FFFF-FFFF00000000}">
      <tableStyleElement type="headerRow" dxfId="28"/>
      <tableStyleElement type="firstRowStripe" dxfId="27"/>
      <tableStyleElement type="secondRowStripe" dxfId="26"/>
    </tableStyle>
    <tableStyle name="2024-style" pivot="0" count="3" xr9:uid="{00000000-0011-0000-FFFF-FFFF01000000}">
      <tableStyleElement type="headerRow" dxfId="25"/>
      <tableStyleElement type="firstRowStripe" dxfId="24"/>
      <tableStyleElement type="secondRowStripe" dxfId="23"/>
    </tableStyle>
    <tableStyle name="2025-style" pivot="0" count="3" xr9:uid="{00000000-0011-0000-FFFF-FFFF02000000}">
      <tableStyleElement type="headerRow" dxfId="22"/>
      <tableStyleElement type="firstRowStripe" dxfId="21"/>
      <tableStyleElement type="secondRowStripe" dxfId="20"/>
    </tableStyle>
    <tableStyle name="B L A N K-style" pivot="0" count="3" xr9:uid="{00000000-0011-0000-FFFF-FFFF03000000}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5:I17">
  <tableColumns count="8">
    <tableColumn id="1" xr3:uid="{00000000-0010-0000-0100-000001000000}" name="MONTH"/>
    <tableColumn id="2" xr3:uid="{00000000-0010-0000-0100-000002000000}" name="TARGET"/>
    <tableColumn id="3" xr3:uid="{00000000-0010-0000-0100-000003000000}" name="ACTUAL"/>
    <tableColumn id="4" xr3:uid="{00000000-0010-0000-0100-000004000000}" name="VARIANCE"/>
    <tableColumn id="5" xr3:uid="{00000000-0010-0000-0100-000005000000}" name="AVERAGE"/>
    <tableColumn id="6" xr3:uid="{00000000-0010-0000-0100-000006000000}" name="SALARY PAID"/>
    <tableColumn id="7" xr3:uid="{00000000-0010-0000-0100-000007000000}" name="INCENTIVE PAID"/>
    <tableColumn id="8" xr3:uid="{00000000-0010-0000-0100-000008000000}" name="TOTAL EARNED"/>
  </tableColumns>
  <tableStyleInfo name="2024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5:I17">
  <tableColumns count="8">
    <tableColumn id="1" xr3:uid="{00000000-0010-0000-0200-000001000000}" name="MONTH"/>
    <tableColumn id="2" xr3:uid="{00000000-0010-0000-0200-000002000000}" name="TARGET"/>
    <tableColumn id="3" xr3:uid="{00000000-0010-0000-0200-000003000000}" name="ACTUAL"/>
    <tableColumn id="4" xr3:uid="{00000000-0010-0000-0200-000004000000}" name="VARIANCE"/>
    <tableColumn id="5" xr3:uid="{00000000-0010-0000-0200-000005000000}" name="AVERAGE"/>
    <tableColumn id="6" xr3:uid="{00000000-0010-0000-0200-000006000000}" name="SALARY PAID"/>
    <tableColumn id="7" xr3:uid="{00000000-0010-0000-0200-000007000000}" name="INCENTIVE PAID"/>
    <tableColumn id="8" xr3:uid="{00000000-0010-0000-0200-000008000000}" name="TOTAL EARNED"/>
  </tableColumns>
  <tableStyleInfo name="2025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5:I17">
  <tableColumns count="8">
    <tableColumn id="1" xr3:uid="{00000000-0010-0000-0300-000001000000}" name="MONTH"/>
    <tableColumn id="2" xr3:uid="{00000000-0010-0000-0300-000002000000}" name="TARGET"/>
    <tableColumn id="3" xr3:uid="{00000000-0010-0000-0300-000003000000}" name="ACTUAL"/>
    <tableColumn id="4" xr3:uid="{00000000-0010-0000-0300-000004000000}" name="VARIANCE"/>
    <tableColumn id="5" xr3:uid="{00000000-0010-0000-0300-000005000000}" name="AVERAGE"/>
    <tableColumn id="6" xr3:uid="{00000000-0010-0000-0300-000006000000}" name="SALARY PAID"/>
    <tableColumn id="7" xr3:uid="{00000000-0010-0000-0300-000007000000}" name="INCENTIVE PAID"/>
    <tableColumn id="8" xr3:uid="{00000000-0010-0000-0300-000008000000}" name="TOTAL EARNED"/>
  </tableColumns>
  <tableStyleInfo name="B L A N K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DCE4"/>
    <pageSetUpPr fitToPage="1"/>
  </sheetPr>
  <dimension ref="A1:J1000"/>
  <sheetViews>
    <sheetView showGridLines="0" tabSelected="1" workbookViewId="0"/>
  </sheetViews>
  <sheetFormatPr defaultColWidth="11.19921875" defaultRowHeight="15" customHeight="1" x14ac:dyDescent="0.3"/>
  <cols>
    <col min="1" max="1" width="3.09765625" customWidth="1"/>
    <col min="2" max="9" width="35.19921875" customWidth="1"/>
    <col min="10" max="10" width="3.09765625" customWidth="1"/>
  </cols>
  <sheetData>
    <row r="1" spans="1:10" ht="15.75" customHeight="1" x14ac:dyDescent="0.3">
      <c r="A1" s="1"/>
      <c r="B1" s="2"/>
      <c r="C1" s="2"/>
      <c r="D1" s="2"/>
      <c r="E1" s="2"/>
      <c r="F1" s="2"/>
      <c r="G1" s="3"/>
      <c r="H1" s="3"/>
      <c r="I1" s="3"/>
      <c r="J1" s="3"/>
    </row>
    <row r="2" spans="1:10" ht="31.5" customHeight="1" x14ac:dyDescent="0.3">
      <c r="A2" s="1"/>
      <c r="B2" s="61" t="s">
        <v>0</v>
      </c>
      <c r="C2" s="62"/>
      <c r="D2" s="62"/>
      <c r="E2" s="62"/>
      <c r="F2" s="62"/>
      <c r="G2" s="62"/>
      <c r="H2" s="62"/>
      <c r="I2" s="63"/>
      <c r="J2" s="3"/>
    </row>
    <row r="3" spans="1:10" ht="31.5" customHeight="1" x14ac:dyDescent="0.3">
      <c r="A3" s="1"/>
      <c r="B3" s="64"/>
      <c r="C3" s="65"/>
      <c r="D3" s="65"/>
      <c r="E3" s="65"/>
      <c r="F3" s="65"/>
      <c r="G3" s="65"/>
      <c r="H3" s="65"/>
      <c r="I3" s="66"/>
      <c r="J3" s="3"/>
    </row>
    <row r="4" spans="1:10" ht="24" customHeight="1" x14ac:dyDescent="0.3">
      <c r="A4" s="1"/>
      <c r="B4" s="4"/>
      <c r="C4" s="5"/>
      <c r="D4" s="5"/>
      <c r="E4" s="6"/>
      <c r="F4" s="6"/>
      <c r="G4" s="7"/>
      <c r="H4" s="6"/>
      <c r="I4" s="8"/>
      <c r="J4" s="3"/>
    </row>
    <row r="5" spans="1:10" ht="31.5" customHeight="1" x14ac:dyDescent="0.3">
      <c r="A5" s="1"/>
      <c r="B5" s="4" t="s">
        <v>1</v>
      </c>
      <c r="C5" s="67" t="s">
        <v>2</v>
      </c>
      <c r="D5" s="68"/>
      <c r="E5" s="9"/>
      <c r="F5" s="9"/>
      <c r="G5" s="6" t="s">
        <v>3</v>
      </c>
      <c r="H5" s="10">
        <f ca="1">IFERROR(C23/I23,"")</f>
        <v>0.66099855282199715</v>
      </c>
      <c r="I5" s="11"/>
      <c r="J5" s="3"/>
    </row>
    <row r="6" spans="1:10" ht="6.75" customHeight="1" x14ac:dyDescent="0.3">
      <c r="A6" s="1"/>
      <c r="B6" s="4"/>
      <c r="C6" s="5"/>
      <c r="D6" s="5"/>
      <c r="E6" s="6"/>
      <c r="F6" s="6"/>
      <c r="G6" s="7"/>
      <c r="H6" s="6"/>
      <c r="I6" s="8"/>
      <c r="J6" s="3"/>
    </row>
    <row r="7" spans="1:10" ht="31.5" customHeight="1" x14ac:dyDescent="0.3">
      <c r="A7" s="1"/>
      <c r="B7" s="4" t="s">
        <v>4</v>
      </c>
      <c r="C7" s="67">
        <v>2024</v>
      </c>
      <c r="D7" s="68"/>
      <c r="E7" s="6"/>
      <c r="F7" s="6"/>
      <c r="G7" s="6" t="s">
        <v>5</v>
      </c>
      <c r="H7" s="12">
        <f ca="1">IFERROR(D23/C23,"0.00")</f>
        <v>0.96387520525451564</v>
      </c>
      <c r="I7" s="8"/>
      <c r="J7" s="3"/>
    </row>
    <row r="8" spans="1:10" ht="24" customHeight="1" x14ac:dyDescent="0.3">
      <c r="A8" s="1"/>
      <c r="B8" s="13"/>
      <c r="C8" s="14"/>
      <c r="D8" s="14"/>
      <c r="E8" s="14"/>
      <c r="F8" s="14"/>
      <c r="G8" s="15"/>
      <c r="H8" s="15"/>
      <c r="I8" s="16"/>
      <c r="J8" s="3"/>
    </row>
    <row r="9" spans="1:10" ht="31.5" customHeight="1" x14ac:dyDescent="0.3">
      <c r="A9" s="1"/>
      <c r="B9" s="17"/>
      <c r="C9" s="69" t="s">
        <v>6</v>
      </c>
      <c r="D9" s="70"/>
      <c r="E9" s="70"/>
      <c r="F9" s="70"/>
      <c r="G9" s="69" t="s">
        <v>7</v>
      </c>
      <c r="H9" s="70"/>
      <c r="I9" s="71"/>
      <c r="J9" s="18"/>
    </row>
    <row r="10" spans="1:10" ht="49.5" customHeight="1" x14ac:dyDescent="0.3">
      <c r="A10" s="19"/>
      <c r="B10" s="20" t="s">
        <v>8</v>
      </c>
      <c r="C10" s="21" t="s">
        <v>9</v>
      </c>
      <c r="D10" s="21" t="s">
        <v>10</v>
      </c>
      <c r="E10" s="21" t="s">
        <v>11</v>
      </c>
      <c r="F10" s="21" t="s">
        <v>12</v>
      </c>
      <c r="G10" s="21" t="s">
        <v>13</v>
      </c>
      <c r="H10" s="21" t="s">
        <v>14</v>
      </c>
      <c r="I10" s="22" t="s">
        <v>15</v>
      </c>
      <c r="J10" s="19"/>
    </row>
    <row r="11" spans="1:10" ht="29.25" customHeight="1" x14ac:dyDescent="0.3">
      <c r="A11" s="1"/>
      <c r="B11" s="23" t="s">
        <v>16</v>
      </c>
      <c r="C11" s="24">
        <f t="array" aca="1" ref="C11:I22" ca="1">IFERROR(INDIRECT("'" &amp; C7  &amp; "'!C6:I17"), "NO DATA CAN BE FOUND"
)</f>
        <v>11500</v>
      </c>
      <c r="D11" s="24">
        <f ca="1"/>
        <v>14500</v>
      </c>
      <c r="E11" s="25">
        <f ca="1"/>
        <v>-3000</v>
      </c>
      <c r="F11" s="24">
        <f ca="1"/>
        <v>14675</v>
      </c>
      <c r="G11" s="24">
        <f ca="1"/>
        <v>12500</v>
      </c>
      <c r="H11" s="24">
        <f ca="1"/>
        <v>7200</v>
      </c>
      <c r="I11" s="26">
        <f ca="1"/>
        <v>19700</v>
      </c>
      <c r="J11" s="1"/>
    </row>
    <row r="12" spans="1:10" ht="29.25" customHeight="1" x14ac:dyDescent="0.3">
      <c r="A12" s="1"/>
      <c r="B12" s="23" t="s">
        <v>17</v>
      </c>
      <c r="C12" s="27">
        <f ca="1"/>
        <v>15200</v>
      </c>
      <c r="D12" s="27">
        <f ca="1"/>
        <v>12200</v>
      </c>
      <c r="E12" s="28">
        <f ca="1"/>
        <v>3000</v>
      </c>
      <c r="F12" s="27">
        <f ca="1"/>
        <v>14675</v>
      </c>
      <c r="G12" s="27">
        <f ca="1"/>
        <v>14800</v>
      </c>
      <c r="H12" s="27">
        <f ca="1"/>
        <v>6500</v>
      </c>
      <c r="I12" s="29">
        <f ca="1"/>
        <v>21300</v>
      </c>
      <c r="J12" s="1"/>
    </row>
    <row r="13" spans="1:10" ht="29.25" customHeight="1" x14ac:dyDescent="0.3">
      <c r="A13" s="1"/>
      <c r="B13" s="23" t="s">
        <v>18</v>
      </c>
      <c r="C13" s="27">
        <f ca="1"/>
        <v>13800</v>
      </c>
      <c r="D13" s="27">
        <f ca="1"/>
        <v>17800</v>
      </c>
      <c r="E13" s="28">
        <f ca="1"/>
        <v>-4000</v>
      </c>
      <c r="F13" s="27">
        <f ca="1"/>
        <v>14675</v>
      </c>
      <c r="G13" s="27">
        <f ca="1"/>
        <v>11200</v>
      </c>
      <c r="H13" s="27">
        <f ca="1"/>
        <v>8700</v>
      </c>
      <c r="I13" s="29">
        <f ca="1"/>
        <v>19900</v>
      </c>
      <c r="J13" s="1"/>
    </row>
    <row r="14" spans="1:10" ht="29.25" customHeight="1" x14ac:dyDescent="0.3">
      <c r="A14" s="1"/>
      <c r="B14" s="23" t="s">
        <v>19</v>
      </c>
      <c r="C14" s="27">
        <f ca="1"/>
        <v>17600</v>
      </c>
      <c r="D14" s="27">
        <f ca="1"/>
        <v>10600</v>
      </c>
      <c r="E14" s="28">
        <f ca="1"/>
        <v>7000</v>
      </c>
      <c r="F14" s="27">
        <f ca="1"/>
        <v>14675</v>
      </c>
      <c r="G14" s="27">
        <f ca="1"/>
        <v>18000</v>
      </c>
      <c r="H14" s="27">
        <f ca="1"/>
        <v>9300</v>
      </c>
      <c r="I14" s="29">
        <f ca="1"/>
        <v>27300</v>
      </c>
      <c r="J14" s="1"/>
    </row>
    <row r="15" spans="1:10" ht="29.25" customHeight="1" x14ac:dyDescent="0.3">
      <c r="A15" s="1"/>
      <c r="B15" s="23" t="s">
        <v>20</v>
      </c>
      <c r="C15" s="27">
        <f ca="1"/>
        <v>12300</v>
      </c>
      <c r="D15" s="27">
        <f ca="1"/>
        <v>15300</v>
      </c>
      <c r="E15" s="28">
        <f ca="1"/>
        <v>-3000</v>
      </c>
      <c r="F15" s="27">
        <f ca="1"/>
        <v>14675</v>
      </c>
      <c r="G15" s="27">
        <f ca="1"/>
        <v>15700</v>
      </c>
      <c r="H15" s="27">
        <f ca="1"/>
        <v>5800</v>
      </c>
      <c r="I15" s="29">
        <f ca="1"/>
        <v>21500</v>
      </c>
      <c r="J15" s="1"/>
    </row>
    <row r="16" spans="1:10" ht="29.25" customHeight="1" x14ac:dyDescent="0.3">
      <c r="A16" s="1"/>
      <c r="B16" s="23" t="s">
        <v>21</v>
      </c>
      <c r="C16" s="27">
        <f ca="1"/>
        <v>16700</v>
      </c>
      <c r="D16" s="27">
        <f ca="1"/>
        <v>18700</v>
      </c>
      <c r="E16" s="28">
        <f ca="1"/>
        <v>-2000</v>
      </c>
      <c r="F16" s="27">
        <f ca="1"/>
        <v>14675</v>
      </c>
      <c r="G16" s="27">
        <f ca="1"/>
        <v>13400</v>
      </c>
      <c r="H16" s="27">
        <f ca="1"/>
        <v>7600</v>
      </c>
      <c r="I16" s="29">
        <f ca="1"/>
        <v>21000</v>
      </c>
      <c r="J16" s="1"/>
    </row>
    <row r="17" spans="1:10" ht="29.25" customHeight="1" x14ac:dyDescent="0.3">
      <c r="A17" s="1"/>
      <c r="B17" s="23" t="s">
        <v>22</v>
      </c>
      <c r="C17" s="27">
        <f ca="1"/>
        <v>19400</v>
      </c>
      <c r="D17" s="27">
        <f ca="1"/>
        <v>11400</v>
      </c>
      <c r="E17" s="28">
        <f ca="1"/>
        <v>8000</v>
      </c>
      <c r="F17" s="27">
        <f ca="1"/>
        <v>14675</v>
      </c>
      <c r="G17" s="27">
        <f ca="1"/>
        <v>16900</v>
      </c>
      <c r="H17" s="27">
        <f ca="1"/>
        <v>9800</v>
      </c>
      <c r="I17" s="29">
        <f ca="1"/>
        <v>26700</v>
      </c>
      <c r="J17" s="1"/>
    </row>
    <row r="18" spans="1:10" ht="29.25" customHeight="1" x14ac:dyDescent="0.3">
      <c r="A18" s="1"/>
      <c r="B18" s="23" t="s">
        <v>23</v>
      </c>
      <c r="C18" s="27">
        <f ca="1"/>
        <v>14900</v>
      </c>
      <c r="D18" s="27">
        <f ca="1"/>
        <v>16900</v>
      </c>
      <c r="E18" s="28">
        <f ca="1"/>
        <v>-2000</v>
      </c>
      <c r="F18" s="27">
        <f ca="1"/>
        <v>14675</v>
      </c>
      <c r="G18" s="27">
        <f ca="1"/>
        <v>19500</v>
      </c>
      <c r="H18" s="27">
        <f ca="1"/>
        <v>6200</v>
      </c>
      <c r="I18" s="29">
        <f ca="1"/>
        <v>25700</v>
      </c>
      <c r="J18" s="1"/>
    </row>
    <row r="19" spans="1:10" ht="29.25" customHeight="1" x14ac:dyDescent="0.3">
      <c r="A19" s="1"/>
      <c r="B19" s="23" t="s">
        <v>24</v>
      </c>
      <c r="C19" s="27">
        <f ca="1"/>
        <v>18100</v>
      </c>
      <c r="D19" s="27">
        <f ca="1"/>
        <v>13100</v>
      </c>
      <c r="E19" s="28">
        <f ca="1"/>
        <v>5000</v>
      </c>
      <c r="F19" s="27">
        <f ca="1"/>
        <v>14675</v>
      </c>
      <c r="G19" s="27">
        <f ca="1"/>
        <v>17100</v>
      </c>
      <c r="H19" s="27">
        <f ca="1"/>
        <v>8400</v>
      </c>
      <c r="I19" s="29">
        <f ca="1"/>
        <v>25500</v>
      </c>
      <c r="J19" s="1"/>
    </row>
    <row r="20" spans="1:10" ht="29.25" customHeight="1" x14ac:dyDescent="0.3">
      <c r="A20" s="1"/>
      <c r="B20" s="23" t="s">
        <v>25</v>
      </c>
      <c r="C20" s="27">
        <f ca="1"/>
        <v>10600</v>
      </c>
      <c r="D20" s="27">
        <f ca="1"/>
        <v>19600</v>
      </c>
      <c r="E20" s="28">
        <f ca="1"/>
        <v>-9000</v>
      </c>
      <c r="F20" s="27">
        <f ca="1"/>
        <v>14675</v>
      </c>
      <c r="G20" s="27">
        <f ca="1"/>
        <v>10600</v>
      </c>
      <c r="H20" s="27">
        <f ca="1"/>
        <v>5500</v>
      </c>
      <c r="I20" s="29">
        <f ca="1"/>
        <v>16100</v>
      </c>
      <c r="J20" s="1"/>
    </row>
    <row r="21" spans="1:10" ht="29.25" customHeight="1" x14ac:dyDescent="0.3">
      <c r="A21" s="1"/>
      <c r="B21" s="23" t="s">
        <v>26</v>
      </c>
      <c r="C21" s="27">
        <f ca="1"/>
        <v>12800</v>
      </c>
      <c r="D21" s="27">
        <f ca="1"/>
        <v>11800</v>
      </c>
      <c r="E21" s="28">
        <f ca="1"/>
        <v>1000</v>
      </c>
      <c r="F21" s="27">
        <f ca="1"/>
        <v>14675</v>
      </c>
      <c r="G21" s="27">
        <f ca="1"/>
        <v>13800</v>
      </c>
      <c r="H21" s="27">
        <f ca="1"/>
        <v>7900</v>
      </c>
      <c r="I21" s="29">
        <f ca="1"/>
        <v>21700</v>
      </c>
      <c r="J21" s="1"/>
    </row>
    <row r="22" spans="1:10" ht="29.25" customHeight="1" x14ac:dyDescent="0.3">
      <c r="A22" s="1"/>
      <c r="B22" s="23" t="s">
        <v>27</v>
      </c>
      <c r="C22" s="30">
        <f ca="1"/>
        <v>19800</v>
      </c>
      <c r="D22" s="30">
        <f ca="1"/>
        <v>14200</v>
      </c>
      <c r="E22" s="31">
        <f ca="1"/>
        <v>5600</v>
      </c>
      <c r="F22" s="30">
        <f ca="1"/>
        <v>14675</v>
      </c>
      <c r="G22" s="30">
        <f ca="1"/>
        <v>20000</v>
      </c>
      <c r="H22" s="30">
        <f ca="1"/>
        <v>10000</v>
      </c>
      <c r="I22" s="32">
        <f ca="1"/>
        <v>30000</v>
      </c>
      <c r="J22" s="1"/>
    </row>
    <row r="23" spans="1:10" ht="43.5" customHeight="1" x14ac:dyDescent="0.3">
      <c r="A23" s="33"/>
      <c r="B23" s="34" t="s">
        <v>28</v>
      </c>
      <c r="C23" s="35">
        <f t="shared" ref="C23:D23" ca="1" si="0">SUBTOTAL(109,C11:C22)</f>
        <v>182700</v>
      </c>
      <c r="D23" s="35">
        <f t="shared" ca="1" si="0"/>
        <v>176100</v>
      </c>
      <c r="E23" s="35">
        <f ca="1">IF(ISBLANK(C23-D23),"",(C23-D23))</f>
        <v>6600</v>
      </c>
      <c r="F23" s="35">
        <f t="shared" ref="F23:H23" ca="1" si="1">SUBTOTAL(109,F11:F22)</f>
        <v>176100</v>
      </c>
      <c r="G23" s="35">
        <f t="shared" ca="1" si="1"/>
        <v>183500</v>
      </c>
      <c r="H23" s="35">
        <f t="shared" ca="1" si="1"/>
        <v>92900</v>
      </c>
      <c r="I23" s="36">
        <f ca="1">SUM(Overview!$G23:$H23)</f>
        <v>276400</v>
      </c>
      <c r="J23" s="33"/>
    </row>
    <row r="24" spans="1:10" ht="18" customHeight="1" x14ac:dyDescent="0.3">
      <c r="A24" s="1"/>
      <c r="B24" s="37"/>
      <c r="C24" s="38"/>
      <c r="D24" s="38"/>
      <c r="E24" s="38"/>
      <c r="F24" s="38"/>
      <c r="G24" s="38"/>
      <c r="H24" s="38"/>
      <c r="I24" s="38"/>
      <c r="J24" s="38"/>
    </row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B2:I3"/>
    <mergeCell ref="C5:D5"/>
    <mergeCell ref="C7:D7"/>
    <mergeCell ref="C9:F9"/>
    <mergeCell ref="G9:I9"/>
  </mergeCells>
  <conditionalFormatting sqref="C23:I23">
    <cfRule type="cellIs" dxfId="16" priority="3" operator="greaterThan">
      <formula>0</formula>
    </cfRule>
    <cfRule type="cellIs" dxfId="15" priority="4" operator="lessThan">
      <formula>0</formula>
    </cfRule>
  </conditionalFormatting>
  <conditionalFormatting sqref="E11:E22">
    <cfRule type="cellIs" dxfId="14" priority="1" operator="lessThan">
      <formula>0</formula>
    </cfRule>
    <cfRule type="cellIs" dxfId="13" priority="2" operator="greaterThan">
      <formula>0</formula>
    </cfRule>
  </conditionalFormatting>
  <conditionalFormatting sqref="H5">
    <cfRule type="cellIs" dxfId="12" priority="5" operator="greaterThan">
      <formula>0</formula>
    </cfRule>
    <cfRule type="cellIs" dxfId="11" priority="6" operator="lessThan">
      <formula>0</formula>
    </cfRule>
  </conditionalFormatting>
  <conditionalFormatting sqref="H7">
    <cfRule type="cellIs" dxfId="10" priority="7" operator="between">
      <formula>0.95</formula>
      <formula>1</formula>
    </cfRule>
    <cfRule type="cellIs" dxfId="9" priority="8" operator="between">
      <formula>0.8</formula>
      <formula>0.949</formula>
    </cfRule>
    <cfRule type="cellIs" dxfId="8" priority="9" operator="between">
      <formula>0.75</formula>
      <formula>0.799</formula>
    </cfRule>
    <cfRule type="cellIs" dxfId="7" priority="10" operator="lessThanOrEqual">
      <formula>0.74</formula>
    </cfRule>
    <cfRule type="cellIs" dxfId="6" priority="11" operator="greaterThanOrEqual">
      <formula>1</formula>
    </cfRule>
  </conditionalFormatting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Setup!$B$3:$B$1000</xm:f>
          </x14:formula1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DCE4"/>
    <pageSetUpPr fitToPage="1"/>
  </sheetPr>
  <dimension ref="A1:Q1000"/>
  <sheetViews>
    <sheetView showGridLines="0" workbookViewId="0"/>
  </sheetViews>
  <sheetFormatPr defaultColWidth="11.19921875" defaultRowHeight="15" customHeight="1" x14ac:dyDescent="0.3"/>
  <cols>
    <col min="1" max="1" width="3.09765625" customWidth="1"/>
    <col min="2" max="9" width="35.19921875" customWidth="1"/>
    <col min="10" max="10" width="3.09765625" customWidth="1"/>
    <col min="11" max="12" width="15.69921875" customWidth="1"/>
    <col min="13" max="13" width="3.09765625" customWidth="1"/>
  </cols>
  <sheetData>
    <row r="1" spans="1:17" ht="15.75" customHeight="1" x14ac:dyDescent="0.3">
      <c r="A1" s="39"/>
      <c r="B1" s="40"/>
      <c r="C1" s="40"/>
      <c r="D1" s="40"/>
      <c r="E1" s="40"/>
      <c r="F1" s="40"/>
      <c r="G1" s="41"/>
      <c r="H1" s="41"/>
      <c r="I1" s="41"/>
      <c r="J1" s="41"/>
      <c r="K1" s="41"/>
      <c r="L1" s="41"/>
      <c r="M1" s="39"/>
      <c r="N1" s="42"/>
      <c r="O1" s="42"/>
      <c r="P1" s="42"/>
      <c r="Q1" s="42"/>
    </row>
    <row r="2" spans="1:17" ht="42" customHeight="1" x14ac:dyDescent="0.3">
      <c r="A2" s="39"/>
      <c r="B2" s="72" t="s">
        <v>29</v>
      </c>
      <c r="C2" s="65"/>
      <c r="D2" s="65"/>
      <c r="E2" s="65"/>
      <c r="F2" s="65"/>
      <c r="G2" s="65"/>
      <c r="H2" s="65"/>
      <c r="I2" s="65"/>
      <c r="J2" s="41"/>
      <c r="K2" s="41"/>
      <c r="L2" s="41"/>
      <c r="M2" s="39"/>
      <c r="N2" s="42"/>
      <c r="O2" s="42"/>
      <c r="P2" s="42"/>
      <c r="Q2" s="42"/>
    </row>
    <row r="3" spans="1:17" ht="12" customHeight="1" x14ac:dyDescent="0.3">
      <c r="A3" s="39"/>
      <c r="B3" s="40"/>
      <c r="C3" s="40"/>
      <c r="D3" s="40"/>
      <c r="E3" s="40"/>
      <c r="F3" s="40"/>
      <c r="G3" s="41"/>
      <c r="H3" s="41"/>
      <c r="I3" s="41"/>
      <c r="J3" s="41"/>
      <c r="K3" s="41"/>
      <c r="L3" s="41"/>
      <c r="M3" s="39"/>
      <c r="N3" s="42"/>
      <c r="O3" s="42"/>
      <c r="P3" s="42"/>
      <c r="Q3" s="42"/>
    </row>
    <row r="4" spans="1:17" ht="31.5" customHeight="1" x14ac:dyDescent="0.4">
      <c r="A4" s="39"/>
      <c r="B4" s="43"/>
      <c r="C4" s="73" t="s">
        <v>30</v>
      </c>
      <c r="D4" s="65"/>
      <c r="E4" s="65"/>
      <c r="F4" s="65"/>
      <c r="G4" s="73" t="s">
        <v>31</v>
      </c>
      <c r="H4" s="65"/>
      <c r="I4" s="65"/>
      <c r="J4" s="44"/>
      <c r="K4" s="44"/>
      <c r="L4" s="44"/>
      <c r="M4" s="39"/>
      <c r="N4" s="42"/>
      <c r="O4" s="42"/>
      <c r="P4" s="42"/>
      <c r="Q4" s="42"/>
    </row>
    <row r="5" spans="1:17" ht="49.5" customHeight="1" x14ac:dyDescent="0.3">
      <c r="A5" s="39"/>
      <c r="B5" s="45" t="s">
        <v>8</v>
      </c>
      <c r="C5" s="46" t="s">
        <v>9</v>
      </c>
      <c r="D5" s="46" t="s">
        <v>10</v>
      </c>
      <c r="E5" s="46" t="s">
        <v>11</v>
      </c>
      <c r="F5" s="46" t="s">
        <v>12</v>
      </c>
      <c r="G5" s="46" t="s">
        <v>13</v>
      </c>
      <c r="H5" s="46" t="s">
        <v>14</v>
      </c>
      <c r="I5" s="47" t="s">
        <v>15</v>
      </c>
      <c r="J5" s="39"/>
      <c r="K5" s="42"/>
      <c r="L5" s="42"/>
      <c r="M5" s="42"/>
    </row>
    <row r="6" spans="1:17" ht="31.5" customHeight="1" x14ac:dyDescent="0.3">
      <c r="A6" s="39"/>
      <c r="B6" s="23" t="s">
        <v>16</v>
      </c>
      <c r="C6" s="24">
        <v>11500</v>
      </c>
      <c r="D6" s="24">
        <v>14500</v>
      </c>
      <c r="E6" s="25">
        <f t="shared" ref="E6:E17" si="0">IF(ISBLANK(C6-D6),"",(C6-D6))</f>
        <v>-3000</v>
      </c>
      <c r="F6" s="24">
        <f t="shared" ref="F6:F17" si="1">IFERROR(AVERAGE($D$6:$D$17),"")</f>
        <v>14675</v>
      </c>
      <c r="G6" s="24">
        <v>12500</v>
      </c>
      <c r="H6" s="24">
        <v>7200</v>
      </c>
      <c r="I6" s="48">
        <f>SUM('2024'!$G6:$H6)</f>
        <v>19700</v>
      </c>
      <c r="J6" s="39"/>
      <c r="K6" s="42"/>
      <c r="L6" s="42"/>
      <c r="M6" s="42"/>
    </row>
    <row r="7" spans="1:17" ht="31.5" customHeight="1" x14ac:dyDescent="0.3">
      <c r="A7" s="39"/>
      <c r="B7" s="23" t="s">
        <v>17</v>
      </c>
      <c r="C7" s="27">
        <v>15200</v>
      </c>
      <c r="D7" s="27">
        <v>12200</v>
      </c>
      <c r="E7" s="28">
        <f t="shared" si="0"/>
        <v>3000</v>
      </c>
      <c r="F7" s="27">
        <f t="shared" si="1"/>
        <v>14675</v>
      </c>
      <c r="G7" s="27">
        <v>14800</v>
      </c>
      <c r="H7" s="27">
        <v>6500</v>
      </c>
      <c r="I7" s="49">
        <f>SUM('2024'!$G7:$H7)</f>
        <v>21300</v>
      </c>
      <c r="J7" s="39"/>
      <c r="K7" s="42"/>
      <c r="L7" s="42"/>
      <c r="M7" s="42"/>
    </row>
    <row r="8" spans="1:17" ht="31.5" customHeight="1" x14ac:dyDescent="0.3">
      <c r="A8" s="39"/>
      <c r="B8" s="23" t="s">
        <v>18</v>
      </c>
      <c r="C8" s="27">
        <v>13800</v>
      </c>
      <c r="D8" s="27">
        <v>17800</v>
      </c>
      <c r="E8" s="28">
        <f t="shared" si="0"/>
        <v>-4000</v>
      </c>
      <c r="F8" s="27">
        <f t="shared" si="1"/>
        <v>14675</v>
      </c>
      <c r="G8" s="27">
        <v>11200</v>
      </c>
      <c r="H8" s="27">
        <v>8700</v>
      </c>
      <c r="I8" s="49">
        <f>SUM('2024'!$G8:$H8)</f>
        <v>19900</v>
      </c>
      <c r="J8" s="39"/>
    </row>
    <row r="9" spans="1:17" ht="31.5" customHeight="1" x14ac:dyDescent="0.3">
      <c r="A9" s="39"/>
      <c r="B9" s="23" t="s">
        <v>19</v>
      </c>
      <c r="C9" s="27">
        <v>17600</v>
      </c>
      <c r="D9" s="27">
        <v>10600</v>
      </c>
      <c r="E9" s="28">
        <f t="shared" si="0"/>
        <v>7000</v>
      </c>
      <c r="F9" s="27">
        <f t="shared" si="1"/>
        <v>14675</v>
      </c>
      <c r="G9" s="27">
        <v>18000</v>
      </c>
      <c r="H9" s="27">
        <v>9300</v>
      </c>
      <c r="I9" s="49">
        <f>SUM('2024'!$G9:$H9)</f>
        <v>27300</v>
      </c>
      <c r="J9" s="39"/>
    </row>
    <row r="10" spans="1:17" ht="31.5" customHeight="1" x14ac:dyDescent="0.3">
      <c r="A10" s="39"/>
      <c r="B10" s="23" t="s">
        <v>20</v>
      </c>
      <c r="C10" s="27">
        <v>12300</v>
      </c>
      <c r="D10" s="27">
        <v>15300</v>
      </c>
      <c r="E10" s="28">
        <f t="shared" si="0"/>
        <v>-3000</v>
      </c>
      <c r="F10" s="27">
        <f t="shared" si="1"/>
        <v>14675</v>
      </c>
      <c r="G10" s="27">
        <v>15700</v>
      </c>
      <c r="H10" s="27">
        <v>5800</v>
      </c>
      <c r="I10" s="49">
        <f>SUM('2024'!$G10:$H10)</f>
        <v>21500</v>
      </c>
      <c r="J10" s="39"/>
    </row>
    <row r="11" spans="1:17" ht="31.5" customHeight="1" x14ac:dyDescent="0.3">
      <c r="A11" s="39"/>
      <c r="B11" s="23" t="s">
        <v>21</v>
      </c>
      <c r="C11" s="27">
        <v>16700</v>
      </c>
      <c r="D11" s="27">
        <v>18700</v>
      </c>
      <c r="E11" s="28">
        <f t="shared" si="0"/>
        <v>-2000</v>
      </c>
      <c r="F11" s="27">
        <f t="shared" si="1"/>
        <v>14675</v>
      </c>
      <c r="G11" s="27">
        <v>13400</v>
      </c>
      <c r="H11" s="27">
        <v>7600</v>
      </c>
      <c r="I11" s="49">
        <f>SUM('2024'!$G11:$H11)</f>
        <v>21000</v>
      </c>
      <c r="J11" s="39"/>
    </row>
    <row r="12" spans="1:17" ht="31.5" customHeight="1" x14ac:dyDescent="0.3">
      <c r="A12" s="39"/>
      <c r="B12" s="23" t="s">
        <v>22</v>
      </c>
      <c r="C12" s="27">
        <v>19400</v>
      </c>
      <c r="D12" s="27">
        <v>11400</v>
      </c>
      <c r="E12" s="28">
        <f t="shared" si="0"/>
        <v>8000</v>
      </c>
      <c r="F12" s="27">
        <f t="shared" si="1"/>
        <v>14675</v>
      </c>
      <c r="G12" s="27">
        <v>16900</v>
      </c>
      <c r="H12" s="27">
        <v>9800</v>
      </c>
      <c r="I12" s="49">
        <f>SUM('2024'!$G12:$H12)</f>
        <v>26700</v>
      </c>
      <c r="J12" s="39"/>
    </row>
    <row r="13" spans="1:17" ht="31.5" customHeight="1" x14ac:dyDescent="0.3">
      <c r="A13" s="39"/>
      <c r="B13" s="23" t="s">
        <v>23</v>
      </c>
      <c r="C13" s="27">
        <v>14900</v>
      </c>
      <c r="D13" s="27">
        <v>16900</v>
      </c>
      <c r="E13" s="28">
        <f t="shared" si="0"/>
        <v>-2000</v>
      </c>
      <c r="F13" s="27">
        <f t="shared" si="1"/>
        <v>14675</v>
      </c>
      <c r="G13" s="27">
        <v>19500</v>
      </c>
      <c r="H13" s="27">
        <v>6200</v>
      </c>
      <c r="I13" s="49">
        <f>SUM('2024'!$G13:$H13)</f>
        <v>25700</v>
      </c>
      <c r="J13" s="39"/>
    </row>
    <row r="14" spans="1:17" ht="31.5" customHeight="1" x14ac:dyDescent="0.3">
      <c r="A14" s="39"/>
      <c r="B14" s="23" t="s">
        <v>24</v>
      </c>
      <c r="C14" s="27">
        <v>18100</v>
      </c>
      <c r="D14" s="27">
        <v>13100</v>
      </c>
      <c r="E14" s="28">
        <f t="shared" si="0"/>
        <v>5000</v>
      </c>
      <c r="F14" s="27">
        <f t="shared" si="1"/>
        <v>14675</v>
      </c>
      <c r="G14" s="27">
        <v>17100</v>
      </c>
      <c r="H14" s="27">
        <v>8400</v>
      </c>
      <c r="I14" s="49">
        <f>SUM('2024'!$G14:$H14)</f>
        <v>25500</v>
      </c>
      <c r="J14" s="39"/>
    </row>
    <row r="15" spans="1:17" ht="31.5" customHeight="1" x14ac:dyDescent="0.3">
      <c r="A15" s="39"/>
      <c r="B15" s="23" t="s">
        <v>25</v>
      </c>
      <c r="C15" s="27">
        <v>10600</v>
      </c>
      <c r="D15" s="27">
        <v>19600</v>
      </c>
      <c r="E15" s="28">
        <f t="shared" si="0"/>
        <v>-9000</v>
      </c>
      <c r="F15" s="27">
        <f t="shared" si="1"/>
        <v>14675</v>
      </c>
      <c r="G15" s="27">
        <v>10600</v>
      </c>
      <c r="H15" s="27">
        <v>5500</v>
      </c>
      <c r="I15" s="49">
        <f>SUM('2024'!$G15:$H15)</f>
        <v>16100</v>
      </c>
      <c r="J15" s="39"/>
    </row>
    <row r="16" spans="1:17" ht="31.5" customHeight="1" x14ac:dyDescent="0.3">
      <c r="A16" s="39"/>
      <c r="B16" s="23" t="s">
        <v>26</v>
      </c>
      <c r="C16" s="27">
        <v>12800</v>
      </c>
      <c r="D16" s="27">
        <v>11800</v>
      </c>
      <c r="E16" s="28">
        <f t="shared" si="0"/>
        <v>1000</v>
      </c>
      <c r="F16" s="27">
        <f t="shared" si="1"/>
        <v>14675</v>
      </c>
      <c r="G16" s="27">
        <v>13800</v>
      </c>
      <c r="H16" s="27">
        <v>7900</v>
      </c>
      <c r="I16" s="49">
        <f>SUM('2024'!$G16:$H16)</f>
        <v>21700</v>
      </c>
      <c r="J16" s="39"/>
    </row>
    <row r="17" spans="1:13" ht="31.5" customHeight="1" x14ac:dyDescent="0.3">
      <c r="A17" s="39"/>
      <c r="B17" s="50" t="s">
        <v>27</v>
      </c>
      <c r="C17" s="51">
        <v>19800</v>
      </c>
      <c r="D17" s="51">
        <v>14200</v>
      </c>
      <c r="E17" s="52">
        <f t="shared" si="0"/>
        <v>5600</v>
      </c>
      <c r="F17" s="53">
        <f t="shared" si="1"/>
        <v>14675</v>
      </c>
      <c r="G17" s="51">
        <v>20000</v>
      </c>
      <c r="H17" s="51">
        <v>10000</v>
      </c>
      <c r="I17" s="54">
        <f>SUM('2024'!$G17:$H17)</f>
        <v>30000</v>
      </c>
      <c r="J17" s="39"/>
    </row>
    <row r="18" spans="1:13" ht="18" customHeight="1" x14ac:dyDescent="0.3">
      <c r="A18" s="39"/>
      <c r="B18" s="55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39"/>
    </row>
    <row r="21" spans="1:13" ht="15.75" customHeight="1" x14ac:dyDescent="0.3"/>
    <row r="22" spans="1:13" ht="15.75" customHeight="1" x14ac:dyDescent="0.3"/>
    <row r="23" spans="1:13" ht="15.75" customHeight="1" x14ac:dyDescent="0.3"/>
    <row r="24" spans="1:13" ht="15.75" customHeight="1" x14ac:dyDescent="0.3"/>
    <row r="25" spans="1:13" ht="15.75" customHeight="1" x14ac:dyDescent="0.3"/>
    <row r="26" spans="1:13" ht="15.75" customHeight="1" x14ac:dyDescent="0.3"/>
    <row r="27" spans="1:13" ht="15.75" customHeight="1" x14ac:dyDescent="0.3"/>
    <row r="28" spans="1:13" ht="15.75" customHeight="1" x14ac:dyDescent="0.3"/>
    <row r="29" spans="1:13" ht="15.75" customHeight="1" x14ac:dyDescent="0.3"/>
    <row r="30" spans="1:13" ht="15.75" customHeight="1" x14ac:dyDescent="0.3"/>
    <row r="31" spans="1:13" ht="15.75" customHeight="1" x14ac:dyDescent="0.3"/>
    <row r="32" spans="1:1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2:I2"/>
    <mergeCell ref="C4:F4"/>
    <mergeCell ref="G4:I4"/>
  </mergeCells>
  <conditionalFormatting sqref="E6:E17">
    <cfRule type="cellIs" dxfId="5" priority="1" operator="lessThan">
      <formula>0</formula>
    </cfRule>
    <cfRule type="cellIs" dxfId="4" priority="2" operator="greaterThan">
      <formula>0</formula>
    </cfRule>
  </conditionalFormatting>
  <pageMargins left="0.3" right="0.3" top="0.3" bottom="0.3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6DCE4"/>
    <pageSetUpPr fitToPage="1"/>
  </sheetPr>
  <dimension ref="A1:Q1000"/>
  <sheetViews>
    <sheetView showGridLines="0" workbookViewId="0"/>
  </sheetViews>
  <sheetFormatPr defaultColWidth="11.19921875" defaultRowHeight="15" customHeight="1" x14ac:dyDescent="0.3"/>
  <cols>
    <col min="1" max="1" width="3.09765625" customWidth="1"/>
    <col min="2" max="9" width="35.19921875" customWidth="1"/>
    <col min="10" max="10" width="3.09765625" customWidth="1"/>
    <col min="11" max="12" width="15.69921875" customWidth="1"/>
    <col min="13" max="13" width="3.09765625" customWidth="1"/>
  </cols>
  <sheetData>
    <row r="1" spans="1:17" ht="15.75" customHeight="1" x14ac:dyDescent="0.3">
      <c r="A1" s="39"/>
      <c r="B1" s="40"/>
      <c r="C1" s="40"/>
      <c r="D1" s="40"/>
      <c r="E1" s="40"/>
      <c r="F1" s="40"/>
      <c r="G1" s="41"/>
      <c r="H1" s="41"/>
      <c r="I1" s="41"/>
      <c r="J1" s="41"/>
      <c r="K1" s="41"/>
      <c r="L1" s="41"/>
      <c r="M1" s="39"/>
      <c r="N1" s="42"/>
      <c r="O1" s="42"/>
      <c r="P1" s="42"/>
      <c r="Q1" s="42"/>
    </row>
    <row r="2" spans="1:17" ht="42" customHeight="1" x14ac:dyDescent="0.3">
      <c r="A2" s="39"/>
      <c r="B2" s="72" t="s">
        <v>32</v>
      </c>
      <c r="C2" s="65"/>
      <c r="D2" s="65"/>
      <c r="E2" s="65"/>
      <c r="F2" s="65"/>
      <c r="G2" s="65"/>
      <c r="H2" s="65"/>
      <c r="I2" s="65"/>
      <c r="J2" s="41"/>
      <c r="K2" s="41"/>
      <c r="L2" s="41"/>
      <c r="M2" s="39"/>
      <c r="N2" s="42"/>
      <c r="O2" s="42"/>
      <c r="P2" s="42"/>
      <c r="Q2" s="42"/>
    </row>
    <row r="3" spans="1:17" ht="12" customHeight="1" x14ac:dyDescent="0.3">
      <c r="A3" s="39"/>
      <c r="B3" s="40"/>
      <c r="C3" s="40"/>
      <c r="D3" s="40"/>
      <c r="E3" s="40"/>
      <c r="F3" s="40"/>
      <c r="G3" s="41"/>
      <c r="H3" s="41"/>
      <c r="I3" s="41"/>
      <c r="J3" s="41"/>
      <c r="K3" s="41"/>
      <c r="L3" s="41"/>
      <c r="M3" s="39"/>
      <c r="N3" s="42"/>
      <c r="O3" s="42"/>
      <c r="P3" s="42"/>
      <c r="Q3" s="42"/>
    </row>
    <row r="4" spans="1:17" ht="31.5" customHeight="1" x14ac:dyDescent="0.4">
      <c r="A4" s="39"/>
      <c r="B4" s="43"/>
      <c r="C4" s="73" t="s">
        <v>30</v>
      </c>
      <c r="D4" s="65"/>
      <c r="E4" s="65"/>
      <c r="F4" s="65"/>
      <c r="G4" s="73" t="s">
        <v>31</v>
      </c>
      <c r="H4" s="65"/>
      <c r="I4" s="65"/>
      <c r="J4" s="44"/>
      <c r="K4" s="44"/>
      <c r="L4" s="44"/>
      <c r="M4" s="39"/>
      <c r="N4" s="42"/>
      <c r="O4" s="42"/>
      <c r="P4" s="42"/>
      <c r="Q4" s="42"/>
    </row>
    <row r="5" spans="1:17" ht="49.5" customHeight="1" x14ac:dyDescent="0.3">
      <c r="A5" s="39"/>
      <c r="B5" s="45" t="s">
        <v>8</v>
      </c>
      <c r="C5" s="46" t="s">
        <v>9</v>
      </c>
      <c r="D5" s="46" t="s">
        <v>10</v>
      </c>
      <c r="E5" s="46" t="s">
        <v>11</v>
      </c>
      <c r="F5" s="46" t="s">
        <v>12</v>
      </c>
      <c r="G5" s="46" t="s">
        <v>13</v>
      </c>
      <c r="H5" s="46" t="s">
        <v>14</v>
      </c>
      <c r="I5" s="47" t="s">
        <v>15</v>
      </c>
      <c r="J5" s="39"/>
      <c r="K5" s="42"/>
      <c r="L5" s="42"/>
      <c r="M5" s="42"/>
    </row>
    <row r="6" spans="1:17" ht="31.5" customHeight="1" x14ac:dyDescent="0.3">
      <c r="A6" s="39"/>
      <c r="B6" s="23" t="s">
        <v>16</v>
      </c>
      <c r="C6" s="24">
        <v>11500</v>
      </c>
      <c r="D6" s="24">
        <v>14500</v>
      </c>
      <c r="E6" s="25">
        <f t="shared" ref="E6:E17" si="0">IF(ISBLANK(C6-D6),"",(C6-D6))</f>
        <v>-3000</v>
      </c>
      <c r="F6" s="24">
        <f t="shared" ref="F6:F17" si="1">IFERROR(AVERAGE($D$6:$D$17),"")</f>
        <v>14833.333333333334</v>
      </c>
      <c r="G6" s="24">
        <v>12500</v>
      </c>
      <c r="H6" s="24">
        <v>7200</v>
      </c>
      <c r="I6" s="48">
        <f>SUM('2025'!$G6:$H6)</f>
        <v>19700</v>
      </c>
      <c r="J6" s="39"/>
      <c r="K6" s="42"/>
      <c r="L6" s="42"/>
      <c r="M6" s="42"/>
    </row>
    <row r="7" spans="1:17" ht="31.5" customHeight="1" x14ac:dyDescent="0.3">
      <c r="A7" s="39"/>
      <c r="B7" s="23" t="s">
        <v>17</v>
      </c>
      <c r="C7" s="27">
        <v>15200</v>
      </c>
      <c r="D7" s="27">
        <v>12200</v>
      </c>
      <c r="E7" s="28">
        <f t="shared" si="0"/>
        <v>3000</v>
      </c>
      <c r="F7" s="27">
        <f t="shared" si="1"/>
        <v>14833.333333333334</v>
      </c>
      <c r="G7" s="27">
        <v>14800</v>
      </c>
      <c r="H7" s="27">
        <v>6500</v>
      </c>
      <c r="I7" s="49">
        <f>SUM('2025'!$G7:$H7)</f>
        <v>21300</v>
      </c>
      <c r="J7" s="39"/>
      <c r="K7" s="42"/>
      <c r="L7" s="42"/>
      <c r="M7" s="42"/>
    </row>
    <row r="8" spans="1:17" ht="31.5" customHeight="1" x14ac:dyDescent="0.3">
      <c r="A8" s="39"/>
      <c r="B8" s="23" t="s">
        <v>18</v>
      </c>
      <c r="C8" s="27">
        <v>13800</v>
      </c>
      <c r="D8" s="27">
        <v>17800</v>
      </c>
      <c r="E8" s="28">
        <f t="shared" si="0"/>
        <v>-4000</v>
      </c>
      <c r="F8" s="27">
        <f t="shared" si="1"/>
        <v>14833.333333333334</v>
      </c>
      <c r="G8" s="27">
        <v>11200</v>
      </c>
      <c r="H8" s="27">
        <v>8700</v>
      </c>
      <c r="I8" s="49">
        <f>SUM('2025'!$G8:$H8)</f>
        <v>19900</v>
      </c>
      <c r="J8" s="39"/>
    </row>
    <row r="9" spans="1:17" ht="31.5" customHeight="1" x14ac:dyDescent="0.3">
      <c r="A9" s="39"/>
      <c r="B9" s="23" t="s">
        <v>19</v>
      </c>
      <c r="C9" s="27"/>
      <c r="D9" s="27"/>
      <c r="E9" s="28">
        <f t="shared" si="0"/>
        <v>0</v>
      </c>
      <c r="F9" s="27">
        <f t="shared" si="1"/>
        <v>14833.333333333334</v>
      </c>
      <c r="G9" s="27"/>
      <c r="H9" s="27"/>
      <c r="I9" s="49">
        <f>SUM('2025'!$G9:$H9)</f>
        <v>0</v>
      </c>
      <c r="J9" s="39"/>
    </row>
    <row r="10" spans="1:17" ht="31.5" customHeight="1" x14ac:dyDescent="0.3">
      <c r="A10" s="39"/>
      <c r="B10" s="23" t="s">
        <v>20</v>
      </c>
      <c r="C10" s="27"/>
      <c r="D10" s="27"/>
      <c r="E10" s="28">
        <f t="shared" si="0"/>
        <v>0</v>
      </c>
      <c r="F10" s="27">
        <f t="shared" si="1"/>
        <v>14833.333333333334</v>
      </c>
      <c r="G10" s="27"/>
      <c r="H10" s="27"/>
      <c r="I10" s="49">
        <f>SUM('2025'!$G10:$H10)</f>
        <v>0</v>
      </c>
      <c r="J10" s="39"/>
    </row>
    <row r="11" spans="1:17" ht="31.5" customHeight="1" x14ac:dyDescent="0.3">
      <c r="A11" s="39"/>
      <c r="B11" s="23" t="s">
        <v>21</v>
      </c>
      <c r="C11" s="27"/>
      <c r="D11" s="27"/>
      <c r="E11" s="28">
        <f t="shared" si="0"/>
        <v>0</v>
      </c>
      <c r="F11" s="27">
        <f t="shared" si="1"/>
        <v>14833.333333333334</v>
      </c>
      <c r="G11" s="27"/>
      <c r="H11" s="27"/>
      <c r="I11" s="49">
        <f>SUM('2025'!$G11:$H11)</f>
        <v>0</v>
      </c>
      <c r="J11" s="39"/>
    </row>
    <row r="12" spans="1:17" ht="31.5" customHeight="1" x14ac:dyDescent="0.3">
      <c r="A12" s="39"/>
      <c r="B12" s="23" t="s">
        <v>22</v>
      </c>
      <c r="C12" s="27"/>
      <c r="D12" s="27"/>
      <c r="E12" s="28">
        <f t="shared" si="0"/>
        <v>0</v>
      </c>
      <c r="F12" s="27">
        <f t="shared" si="1"/>
        <v>14833.333333333334</v>
      </c>
      <c r="G12" s="27"/>
      <c r="H12" s="27"/>
      <c r="I12" s="49">
        <f>SUM('2025'!$G12:$H12)</f>
        <v>0</v>
      </c>
      <c r="J12" s="39"/>
    </row>
    <row r="13" spans="1:17" ht="31.5" customHeight="1" x14ac:dyDescent="0.3">
      <c r="A13" s="39"/>
      <c r="B13" s="23" t="s">
        <v>23</v>
      </c>
      <c r="C13" s="27"/>
      <c r="D13" s="27"/>
      <c r="E13" s="28">
        <f t="shared" si="0"/>
        <v>0</v>
      </c>
      <c r="F13" s="27">
        <f t="shared" si="1"/>
        <v>14833.333333333334</v>
      </c>
      <c r="G13" s="27"/>
      <c r="H13" s="27"/>
      <c r="I13" s="49">
        <f>SUM('2025'!$G13:$H13)</f>
        <v>0</v>
      </c>
      <c r="J13" s="39"/>
    </row>
    <row r="14" spans="1:17" ht="31.5" customHeight="1" x14ac:dyDescent="0.3">
      <c r="A14" s="39"/>
      <c r="B14" s="23" t="s">
        <v>24</v>
      </c>
      <c r="C14" s="27"/>
      <c r="D14" s="27"/>
      <c r="E14" s="28">
        <f t="shared" si="0"/>
        <v>0</v>
      </c>
      <c r="F14" s="27">
        <f t="shared" si="1"/>
        <v>14833.333333333334</v>
      </c>
      <c r="G14" s="27"/>
      <c r="H14" s="27"/>
      <c r="I14" s="49">
        <f>SUM('2025'!$G14:$H14)</f>
        <v>0</v>
      </c>
      <c r="J14" s="39"/>
    </row>
    <row r="15" spans="1:17" ht="31.5" customHeight="1" x14ac:dyDescent="0.3">
      <c r="A15" s="39"/>
      <c r="B15" s="23" t="s">
        <v>25</v>
      </c>
      <c r="C15" s="27"/>
      <c r="D15" s="27"/>
      <c r="E15" s="28">
        <f t="shared" si="0"/>
        <v>0</v>
      </c>
      <c r="F15" s="27">
        <f t="shared" si="1"/>
        <v>14833.333333333334</v>
      </c>
      <c r="G15" s="27"/>
      <c r="H15" s="27"/>
      <c r="I15" s="49">
        <f>SUM('2025'!$G15:$H15)</f>
        <v>0</v>
      </c>
      <c r="J15" s="39"/>
    </row>
    <row r="16" spans="1:17" ht="31.5" customHeight="1" x14ac:dyDescent="0.3">
      <c r="A16" s="39"/>
      <c r="B16" s="23" t="s">
        <v>26</v>
      </c>
      <c r="C16" s="27"/>
      <c r="D16" s="27"/>
      <c r="E16" s="28">
        <f t="shared" si="0"/>
        <v>0</v>
      </c>
      <c r="F16" s="27">
        <f t="shared" si="1"/>
        <v>14833.333333333334</v>
      </c>
      <c r="G16" s="27"/>
      <c r="H16" s="27"/>
      <c r="I16" s="49">
        <f>SUM('2025'!$G16:$H16)</f>
        <v>0</v>
      </c>
      <c r="J16" s="39"/>
    </row>
    <row r="17" spans="1:13" ht="31.5" customHeight="1" x14ac:dyDescent="0.3">
      <c r="A17" s="39"/>
      <c r="B17" s="50" t="s">
        <v>27</v>
      </c>
      <c r="C17" s="51"/>
      <c r="D17" s="51"/>
      <c r="E17" s="52">
        <f t="shared" si="0"/>
        <v>0</v>
      </c>
      <c r="F17" s="53">
        <f t="shared" si="1"/>
        <v>14833.333333333334</v>
      </c>
      <c r="G17" s="51"/>
      <c r="H17" s="51"/>
      <c r="I17" s="54">
        <f>SUM('2025'!$G17:$H17)</f>
        <v>0</v>
      </c>
      <c r="J17" s="39"/>
    </row>
    <row r="18" spans="1:13" ht="18" customHeight="1" x14ac:dyDescent="0.3">
      <c r="A18" s="39"/>
      <c r="B18" s="55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39"/>
    </row>
    <row r="21" spans="1:13" ht="15.75" customHeight="1" x14ac:dyDescent="0.3"/>
    <row r="22" spans="1:13" ht="15.75" customHeight="1" x14ac:dyDescent="0.3"/>
    <row r="23" spans="1:13" ht="15.75" customHeight="1" x14ac:dyDescent="0.3"/>
    <row r="24" spans="1:13" ht="15.75" customHeight="1" x14ac:dyDescent="0.3"/>
    <row r="25" spans="1:13" ht="15.75" customHeight="1" x14ac:dyDescent="0.3"/>
    <row r="26" spans="1:13" ht="15.75" customHeight="1" x14ac:dyDescent="0.3"/>
    <row r="27" spans="1:13" ht="15.75" customHeight="1" x14ac:dyDescent="0.3"/>
    <row r="28" spans="1:13" ht="15.75" customHeight="1" x14ac:dyDescent="0.3"/>
    <row r="29" spans="1:13" ht="15.75" customHeight="1" x14ac:dyDescent="0.3"/>
    <row r="30" spans="1:13" ht="15.75" customHeight="1" x14ac:dyDescent="0.3"/>
    <row r="31" spans="1:13" ht="15.75" customHeight="1" x14ac:dyDescent="0.3"/>
    <row r="32" spans="1:1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2:I2"/>
    <mergeCell ref="C4:F4"/>
    <mergeCell ref="G4:I4"/>
  </mergeCells>
  <conditionalFormatting sqref="E6:E17">
    <cfRule type="cellIs" dxfId="3" priority="1" operator="lessThan">
      <formula>0</formula>
    </cfRule>
    <cfRule type="cellIs" dxfId="2" priority="2" operator="greaterThan">
      <formula>0</formula>
    </cfRule>
  </conditionalFormatting>
  <pageMargins left="0.3" right="0.3" top="0.3" bottom="0.3" header="0" footer="0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6DCE4"/>
    <pageSetUpPr fitToPage="1"/>
  </sheetPr>
  <dimension ref="A1:Q1000"/>
  <sheetViews>
    <sheetView showGridLines="0" workbookViewId="0"/>
  </sheetViews>
  <sheetFormatPr defaultColWidth="11.19921875" defaultRowHeight="15" customHeight="1" x14ac:dyDescent="0.3"/>
  <cols>
    <col min="1" max="1" width="3.09765625" customWidth="1"/>
    <col min="2" max="9" width="35.19921875" customWidth="1"/>
    <col min="10" max="10" width="3.09765625" customWidth="1"/>
    <col min="11" max="12" width="15.69921875" customWidth="1"/>
    <col min="13" max="13" width="3.09765625" customWidth="1"/>
  </cols>
  <sheetData>
    <row r="1" spans="1:17" ht="15.75" customHeight="1" x14ac:dyDescent="0.3">
      <c r="A1" s="39"/>
      <c r="B1" s="40"/>
      <c r="C1" s="40"/>
      <c r="D1" s="40"/>
      <c r="E1" s="40"/>
      <c r="F1" s="40"/>
      <c r="G1" s="41"/>
      <c r="H1" s="41"/>
      <c r="I1" s="41"/>
      <c r="J1" s="41"/>
      <c r="K1" s="41"/>
      <c r="L1" s="41"/>
      <c r="M1" s="39"/>
      <c r="N1" s="42"/>
      <c r="O1" s="42"/>
      <c r="P1" s="42"/>
      <c r="Q1" s="42"/>
    </row>
    <row r="2" spans="1:17" ht="42" customHeight="1" x14ac:dyDescent="0.3">
      <c r="A2" s="39"/>
      <c r="B2" s="72" t="s">
        <v>33</v>
      </c>
      <c r="C2" s="65"/>
      <c r="D2" s="65"/>
      <c r="E2" s="65"/>
      <c r="F2" s="65"/>
      <c r="G2" s="65"/>
      <c r="H2" s="65"/>
      <c r="I2" s="65"/>
      <c r="J2" s="41"/>
      <c r="K2" s="41"/>
      <c r="L2" s="41"/>
      <c r="M2" s="39"/>
      <c r="N2" s="42"/>
      <c r="O2" s="42"/>
      <c r="P2" s="42"/>
      <c r="Q2" s="42"/>
    </row>
    <row r="3" spans="1:17" ht="12" customHeight="1" x14ac:dyDescent="0.3">
      <c r="A3" s="39"/>
      <c r="B3" s="40"/>
      <c r="C3" s="40"/>
      <c r="D3" s="40"/>
      <c r="E3" s="40"/>
      <c r="F3" s="40"/>
      <c r="G3" s="41"/>
      <c r="H3" s="41"/>
      <c r="I3" s="41"/>
      <c r="J3" s="41"/>
      <c r="K3" s="41"/>
      <c r="L3" s="41"/>
      <c r="M3" s="39"/>
      <c r="N3" s="42"/>
      <c r="O3" s="42"/>
      <c r="P3" s="42"/>
      <c r="Q3" s="42"/>
    </row>
    <row r="4" spans="1:17" ht="31.5" customHeight="1" x14ac:dyDescent="0.4">
      <c r="A4" s="39"/>
      <c r="B4" s="43"/>
      <c r="C4" s="73" t="s">
        <v>30</v>
      </c>
      <c r="D4" s="65"/>
      <c r="E4" s="65"/>
      <c r="F4" s="65"/>
      <c r="G4" s="73" t="s">
        <v>31</v>
      </c>
      <c r="H4" s="65"/>
      <c r="I4" s="65"/>
      <c r="J4" s="44"/>
      <c r="K4" s="44"/>
      <c r="L4" s="44"/>
      <c r="M4" s="39"/>
      <c r="N4" s="42"/>
      <c r="O4" s="42"/>
      <c r="P4" s="42"/>
      <c r="Q4" s="42"/>
    </row>
    <row r="5" spans="1:17" ht="49.5" customHeight="1" x14ac:dyDescent="0.3">
      <c r="A5" s="39"/>
      <c r="B5" s="45" t="s">
        <v>8</v>
      </c>
      <c r="C5" s="46" t="s">
        <v>9</v>
      </c>
      <c r="D5" s="46" t="s">
        <v>10</v>
      </c>
      <c r="E5" s="46" t="s">
        <v>11</v>
      </c>
      <c r="F5" s="46" t="s">
        <v>12</v>
      </c>
      <c r="G5" s="46" t="s">
        <v>13</v>
      </c>
      <c r="H5" s="46" t="s">
        <v>14</v>
      </c>
      <c r="I5" s="47" t="s">
        <v>15</v>
      </c>
      <c r="J5" s="39"/>
      <c r="K5" s="42"/>
      <c r="L5" s="42"/>
      <c r="M5" s="42"/>
    </row>
    <row r="6" spans="1:17" ht="31.5" customHeight="1" x14ac:dyDescent="0.3">
      <c r="A6" s="39"/>
      <c r="B6" s="23" t="s">
        <v>16</v>
      </c>
      <c r="C6" s="24"/>
      <c r="D6" s="24"/>
      <c r="E6" s="25">
        <f t="shared" ref="E6:E17" si="0">IF(ISBLANK(C6-D6),"",(C6-D6))</f>
        <v>0</v>
      </c>
      <c r="F6" s="24" t="str">
        <f t="shared" ref="F6:F17" si="1">IFERROR(AVERAGE($D$6:$D$17),"")</f>
        <v/>
      </c>
      <c r="G6" s="24"/>
      <c r="H6" s="24"/>
      <c r="I6" s="48">
        <f>SUM('B L A N K'!$G6:$H6)</f>
        <v>0</v>
      </c>
      <c r="J6" s="39"/>
      <c r="K6" s="42"/>
      <c r="L6" s="42"/>
      <c r="M6" s="42"/>
    </row>
    <row r="7" spans="1:17" ht="31.5" customHeight="1" x14ac:dyDescent="0.3">
      <c r="A7" s="39"/>
      <c r="B7" s="23" t="s">
        <v>17</v>
      </c>
      <c r="C7" s="27"/>
      <c r="D7" s="27"/>
      <c r="E7" s="28">
        <f t="shared" si="0"/>
        <v>0</v>
      </c>
      <c r="F7" s="27" t="str">
        <f t="shared" si="1"/>
        <v/>
      </c>
      <c r="G7" s="27"/>
      <c r="H7" s="27"/>
      <c r="I7" s="49">
        <f>SUM('B L A N K'!$G7:$H7)</f>
        <v>0</v>
      </c>
      <c r="J7" s="39"/>
      <c r="K7" s="42"/>
      <c r="L7" s="42"/>
      <c r="M7" s="42"/>
    </row>
    <row r="8" spans="1:17" ht="31.5" customHeight="1" x14ac:dyDescent="0.3">
      <c r="A8" s="39"/>
      <c r="B8" s="23" t="s">
        <v>18</v>
      </c>
      <c r="C8" s="27"/>
      <c r="D8" s="27"/>
      <c r="E8" s="28">
        <f t="shared" si="0"/>
        <v>0</v>
      </c>
      <c r="F8" s="27" t="str">
        <f t="shared" si="1"/>
        <v/>
      </c>
      <c r="G8" s="27"/>
      <c r="H8" s="27"/>
      <c r="I8" s="49">
        <f>SUM('B L A N K'!$G8:$H8)</f>
        <v>0</v>
      </c>
      <c r="J8" s="39"/>
    </row>
    <row r="9" spans="1:17" ht="31.5" customHeight="1" x14ac:dyDescent="0.3">
      <c r="A9" s="39"/>
      <c r="B9" s="23" t="s">
        <v>19</v>
      </c>
      <c r="C9" s="27"/>
      <c r="D9" s="27"/>
      <c r="E9" s="28">
        <f t="shared" si="0"/>
        <v>0</v>
      </c>
      <c r="F9" s="27" t="str">
        <f t="shared" si="1"/>
        <v/>
      </c>
      <c r="G9" s="27"/>
      <c r="H9" s="27"/>
      <c r="I9" s="49">
        <f>SUM('B L A N K'!$G9:$H9)</f>
        <v>0</v>
      </c>
      <c r="J9" s="39"/>
    </row>
    <row r="10" spans="1:17" ht="31.5" customHeight="1" x14ac:dyDescent="0.3">
      <c r="A10" s="39"/>
      <c r="B10" s="23" t="s">
        <v>20</v>
      </c>
      <c r="C10" s="27"/>
      <c r="D10" s="27"/>
      <c r="E10" s="28">
        <f t="shared" si="0"/>
        <v>0</v>
      </c>
      <c r="F10" s="27" t="str">
        <f t="shared" si="1"/>
        <v/>
      </c>
      <c r="G10" s="27"/>
      <c r="H10" s="27"/>
      <c r="I10" s="49">
        <f>SUM('B L A N K'!$G10:$H10)</f>
        <v>0</v>
      </c>
      <c r="J10" s="39"/>
    </row>
    <row r="11" spans="1:17" ht="31.5" customHeight="1" x14ac:dyDescent="0.3">
      <c r="A11" s="39"/>
      <c r="B11" s="23" t="s">
        <v>21</v>
      </c>
      <c r="C11" s="27"/>
      <c r="D11" s="27"/>
      <c r="E11" s="28">
        <f t="shared" si="0"/>
        <v>0</v>
      </c>
      <c r="F11" s="27" t="str">
        <f t="shared" si="1"/>
        <v/>
      </c>
      <c r="G11" s="27"/>
      <c r="H11" s="27"/>
      <c r="I11" s="49">
        <f>SUM('B L A N K'!$G11:$H11)</f>
        <v>0</v>
      </c>
      <c r="J11" s="39"/>
    </row>
    <row r="12" spans="1:17" ht="31.5" customHeight="1" x14ac:dyDescent="0.3">
      <c r="A12" s="39"/>
      <c r="B12" s="23" t="s">
        <v>22</v>
      </c>
      <c r="C12" s="27"/>
      <c r="D12" s="27"/>
      <c r="E12" s="28">
        <f t="shared" si="0"/>
        <v>0</v>
      </c>
      <c r="F12" s="27" t="str">
        <f t="shared" si="1"/>
        <v/>
      </c>
      <c r="G12" s="27"/>
      <c r="H12" s="27"/>
      <c r="I12" s="49">
        <f>SUM('B L A N K'!$G12:$H12)</f>
        <v>0</v>
      </c>
      <c r="J12" s="39"/>
    </row>
    <row r="13" spans="1:17" ht="31.5" customHeight="1" x14ac:dyDescent="0.3">
      <c r="A13" s="39"/>
      <c r="B13" s="23" t="s">
        <v>23</v>
      </c>
      <c r="C13" s="27"/>
      <c r="D13" s="27"/>
      <c r="E13" s="28">
        <f t="shared" si="0"/>
        <v>0</v>
      </c>
      <c r="F13" s="27" t="str">
        <f t="shared" si="1"/>
        <v/>
      </c>
      <c r="G13" s="27"/>
      <c r="H13" s="27"/>
      <c r="I13" s="49">
        <f>SUM('B L A N K'!$G13:$H13)</f>
        <v>0</v>
      </c>
      <c r="J13" s="39"/>
    </row>
    <row r="14" spans="1:17" ht="31.5" customHeight="1" x14ac:dyDescent="0.3">
      <c r="A14" s="39"/>
      <c r="B14" s="23" t="s">
        <v>24</v>
      </c>
      <c r="C14" s="27"/>
      <c r="D14" s="27"/>
      <c r="E14" s="28">
        <f t="shared" si="0"/>
        <v>0</v>
      </c>
      <c r="F14" s="27" t="str">
        <f t="shared" si="1"/>
        <v/>
      </c>
      <c r="G14" s="27"/>
      <c r="H14" s="27"/>
      <c r="I14" s="49">
        <f>SUM('B L A N K'!$G14:$H14)</f>
        <v>0</v>
      </c>
      <c r="J14" s="39"/>
    </row>
    <row r="15" spans="1:17" ht="31.5" customHeight="1" x14ac:dyDescent="0.3">
      <c r="A15" s="39"/>
      <c r="B15" s="23" t="s">
        <v>25</v>
      </c>
      <c r="C15" s="27"/>
      <c r="D15" s="27"/>
      <c r="E15" s="28">
        <f t="shared" si="0"/>
        <v>0</v>
      </c>
      <c r="F15" s="27" t="str">
        <f t="shared" si="1"/>
        <v/>
      </c>
      <c r="G15" s="27"/>
      <c r="H15" s="27"/>
      <c r="I15" s="49">
        <f>SUM('B L A N K'!$G15:$H15)</f>
        <v>0</v>
      </c>
      <c r="J15" s="39"/>
    </row>
    <row r="16" spans="1:17" ht="31.5" customHeight="1" x14ac:dyDescent="0.3">
      <c r="A16" s="39"/>
      <c r="B16" s="23" t="s">
        <v>26</v>
      </c>
      <c r="C16" s="27"/>
      <c r="D16" s="27"/>
      <c r="E16" s="28">
        <f t="shared" si="0"/>
        <v>0</v>
      </c>
      <c r="F16" s="27" t="str">
        <f t="shared" si="1"/>
        <v/>
      </c>
      <c r="G16" s="27"/>
      <c r="H16" s="27"/>
      <c r="I16" s="49">
        <f>SUM('B L A N K'!$G16:$H16)</f>
        <v>0</v>
      </c>
      <c r="J16" s="39"/>
    </row>
    <row r="17" spans="1:13" ht="31.5" customHeight="1" x14ac:dyDescent="0.3">
      <c r="A17" s="39"/>
      <c r="B17" s="50" t="s">
        <v>27</v>
      </c>
      <c r="C17" s="51"/>
      <c r="D17" s="51"/>
      <c r="E17" s="52">
        <f t="shared" si="0"/>
        <v>0</v>
      </c>
      <c r="F17" s="53" t="str">
        <f t="shared" si="1"/>
        <v/>
      </c>
      <c r="G17" s="51"/>
      <c r="H17" s="51"/>
      <c r="I17" s="54">
        <f>SUM('B L A N K'!$G17:$H17)</f>
        <v>0</v>
      </c>
      <c r="J17" s="39"/>
    </row>
    <row r="18" spans="1:13" ht="18" customHeight="1" x14ac:dyDescent="0.3">
      <c r="A18" s="39"/>
      <c r="B18" s="55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39"/>
    </row>
    <row r="21" spans="1:13" ht="15.75" customHeight="1" x14ac:dyDescent="0.3"/>
    <row r="22" spans="1:13" ht="15.75" customHeight="1" x14ac:dyDescent="0.3"/>
    <row r="23" spans="1:13" ht="15.75" customHeight="1" x14ac:dyDescent="0.3"/>
    <row r="24" spans="1:13" ht="15.75" customHeight="1" x14ac:dyDescent="0.3"/>
    <row r="25" spans="1:13" ht="15.75" customHeight="1" x14ac:dyDescent="0.3"/>
    <row r="26" spans="1:13" ht="15.75" customHeight="1" x14ac:dyDescent="0.3"/>
    <row r="27" spans="1:13" ht="15.75" customHeight="1" x14ac:dyDescent="0.3"/>
    <row r="28" spans="1:13" ht="15.75" customHeight="1" x14ac:dyDescent="0.3"/>
    <row r="29" spans="1:13" ht="15.75" customHeight="1" x14ac:dyDescent="0.3"/>
    <row r="30" spans="1:13" ht="15.75" customHeight="1" x14ac:dyDescent="0.3"/>
    <row r="31" spans="1:13" ht="15.75" customHeight="1" x14ac:dyDescent="0.3"/>
    <row r="32" spans="1:1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2:I2"/>
    <mergeCell ref="C4:F4"/>
    <mergeCell ref="G4:I4"/>
  </mergeCells>
  <conditionalFormatting sqref="E6:E17">
    <cfRule type="cellIs" dxfId="1" priority="1" operator="lessThan">
      <formula>0</formula>
    </cfRule>
    <cfRule type="cellIs" dxfId="0" priority="2" operator="greaterThan">
      <formula>0</formula>
    </cfRule>
  </conditionalFormatting>
  <pageMargins left="0.3" right="0.3" top="0.3" bottom="0.3" header="0" footer="0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00"/>
  <sheetViews>
    <sheetView showGridLines="0" workbookViewId="0"/>
  </sheetViews>
  <sheetFormatPr defaultColWidth="11.19921875" defaultRowHeight="15" customHeight="1" x14ac:dyDescent="0.3"/>
  <cols>
    <col min="1" max="1" width="2.19921875" customWidth="1"/>
    <col min="2" max="2" width="22.59765625" customWidth="1"/>
    <col min="3" max="3" width="2.19921875" customWidth="1"/>
    <col min="4" max="6" width="11.19921875" customWidth="1"/>
  </cols>
  <sheetData>
    <row r="1" spans="1:3" ht="18" x14ac:dyDescent="0.3">
      <c r="A1" s="57"/>
      <c r="B1" s="57"/>
      <c r="C1" s="57"/>
    </row>
    <row r="2" spans="1:3" ht="27" customHeight="1" x14ac:dyDescent="0.3">
      <c r="A2" s="57"/>
      <c r="B2" s="58" t="s">
        <v>34</v>
      </c>
      <c r="C2" s="57"/>
    </row>
    <row r="3" spans="1:3" ht="27" customHeight="1" x14ac:dyDescent="0.3">
      <c r="A3" s="57"/>
      <c r="B3" s="59">
        <v>2024</v>
      </c>
      <c r="C3" s="57"/>
    </row>
    <row r="4" spans="1:3" ht="27" customHeight="1" x14ac:dyDescent="0.3">
      <c r="A4" s="57"/>
      <c r="B4" s="60">
        <v>2025</v>
      </c>
      <c r="C4" s="57"/>
    </row>
    <row r="5" spans="1:3" ht="27" customHeight="1" x14ac:dyDescent="0.3">
      <c r="A5" s="57"/>
      <c r="B5" s="60">
        <v>2026</v>
      </c>
      <c r="C5" s="57"/>
    </row>
    <row r="6" spans="1:3" ht="27" customHeight="1" x14ac:dyDescent="0.3">
      <c r="A6" s="57"/>
      <c r="B6" s="60">
        <v>2027</v>
      </c>
      <c r="C6" s="57"/>
    </row>
    <row r="7" spans="1:3" ht="27" customHeight="1" x14ac:dyDescent="0.3">
      <c r="A7" s="57"/>
      <c r="B7" s="60">
        <v>2028</v>
      </c>
      <c r="C7" s="57"/>
    </row>
    <row r="8" spans="1:3" ht="27" customHeight="1" x14ac:dyDescent="0.3">
      <c r="A8" s="57"/>
      <c r="B8" s="60">
        <v>2029</v>
      </c>
      <c r="C8" s="57"/>
    </row>
    <row r="9" spans="1:3" ht="27" customHeight="1" x14ac:dyDescent="0.3">
      <c r="A9" s="57"/>
      <c r="B9" s="60">
        <v>2030</v>
      </c>
      <c r="C9" s="57"/>
    </row>
    <row r="10" spans="1:3" ht="27" customHeight="1" x14ac:dyDescent="0.3">
      <c r="A10" s="57"/>
      <c r="B10" s="60">
        <v>2031</v>
      </c>
      <c r="C10" s="57"/>
    </row>
    <row r="11" spans="1:3" ht="27" customHeight="1" x14ac:dyDescent="0.3">
      <c r="A11" s="57"/>
      <c r="B11" s="60">
        <v>2032</v>
      </c>
      <c r="C11" s="57"/>
    </row>
    <row r="12" spans="1:3" ht="27" customHeight="1" x14ac:dyDescent="0.3">
      <c r="A12" s="57"/>
      <c r="B12" s="60">
        <v>2033</v>
      </c>
      <c r="C12" s="57"/>
    </row>
    <row r="13" spans="1:3" ht="27" customHeight="1" x14ac:dyDescent="0.3">
      <c r="A13" s="57"/>
      <c r="B13" s="60">
        <v>2034</v>
      </c>
      <c r="C13" s="57"/>
    </row>
    <row r="14" spans="1:3" ht="27" customHeight="1" x14ac:dyDescent="0.3">
      <c r="A14" s="57"/>
      <c r="B14" s="60">
        <v>2035</v>
      </c>
      <c r="C14" s="57"/>
    </row>
    <row r="15" spans="1:3" ht="27" customHeight="1" x14ac:dyDescent="0.3">
      <c r="A15" s="57"/>
      <c r="B15" s="60">
        <v>2036</v>
      </c>
      <c r="C15" s="57"/>
    </row>
    <row r="16" spans="1:3" ht="27" customHeight="1" x14ac:dyDescent="0.3">
      <c r="A16" s="57"/>
      <c r="B16" s="60">
        <v>2037</v>
      </c>
      <c r="C16" s="57"/>
    </row>
    <row r="17" spans="1:3" ht="27" customHeight="1" x14ac:dyDescent="0.3">
      <c r="A17" s="57"/>
      <c r="B17" s="60">
        <v>2038</v>
      </c>
      <c r="C17" s="57"/>
    </row>
    <row r="18" spans="1:3" ht="27" customHeight="1" x14ac:dyDescent="0.3">
      <c r="A18" s="57"/>
      <c r="B18" s="60">
        <v>2039</v>
      </c>
      <c r="C18" s="57"/>
    </row>
    <row r="19" spans="1:3" ht="27" customHeight="1" x14ac:dyDescent="0.3">
      <c r="A19" s="57"/>
      <c r="B19" s="60">
        <v>2040</v>
      </c>
      <c r="C19" s="57"/>
    </row>
    <row r="20" spans="1:3" ht="27" customHeight="1" x14ac:dyDescent="0.3">
      <c r="A20" s="57"/>
      <c r="B20" s="60"/>
      <c r="C20" s="57"/>
    </row>
    <row r="21" spans="1:3" ht="27" customHeight="1" x14ac:dyDescent="0.3">
      <c r="A21" s="57"/>
      <c r="B21" s="60"/>
      <c r="C21" s="57"/>
    </row>
    <row r="22" spans="1:3" ht="27" customHeight="1" x14ac:dyDescent="0.3">
      <c r="A22" s="57"/>
      <c r="B22" s="60"/>
      <c r="C22" s="57"/>
    </row>
    <row r="23" spans="1:3" ht="27" customHeight="1" x14ac:dyDescent="0.3">
      <c r="A23" s="57"/>
      <c r="B23" s="60"/>
      <c r="C23" s="57"/>
    </row>
    <row r="24" spans="1:3" ht="27" customHeight="1" x14ac:dyDescent="0.3">
      <c r="A24" s="57"/>
      <c r="B24" s="60"/>
      <c r="C24" s="57"/>
    </row>
    <row r="25" spans="1:3" ht="27" customHeight="1" x14ac:dyDescent="0.3">
      <c r="A25" s="57"/>
      <c r="B25" s="60"/>
      <c r="C25" s="57"/>
    </row>
    <row r="26" spans="1:3" ht="27" customHeight="1" x14ac:dyDescent="0.3">
      <c r="A26" s="57"/>
      <c r="B26" s="60"/>
      <c r="C26" s="57"/>
    </row>
    <row r="27" spans="1:3" ht="27" customHeight="1" x14ac:dyDescent="0.3">
      <c r="A27" s="57"/>
      <c r="B27" s="60"/>
      <c r="C27" s="57"/>
    </row>
    <row r="28" spans="1:3" ht="27" customHeight="1" x14ac:dyDescent="0.3">
      <c r="A28" s="57"/>
      <c r="B28" s="60"/>
      <c r="C28" s="57"/>
    </row>
    <row r="29" spans="1:3" ht="27" customHeight="1" x14ac:dyDescent="0.3">
      <c r="A29" s="57"/>
      <c r="B29" s="60"/>
      <c r="C29" s="57"/>
    </row>
    <row r="30" spans="1:3" ht="27" customHeight="1" x14ac:dyDescent="0.3">
      <c r="A30" s="57"/>
      <c r="B30" s="60"/>
      <c r="C30" s="57"/>
    </row>
    <row r="31" spans="1:3" ht="27" customHeight="1" x14ac:dyDescent="0.3">
      <c r="A31" s="57"/>
      <c r="B31" s="60"/>
      <c r="C31" s="57"/>
    </row>
    <row r="32" spans="1:3" ht="27" customHeight="1" x14ac:dyDescent="0.3">
      <c r="A32" s="57"/>
      <c r="B32" s="60"/>
      <c r="C32" s="57"/>
    </row>
    <row r="33" spans="1:3" ht="27" customHeight="1" x14ac:dyDescent="0.3">
      <c r="A33" s="57"/>
      <c r="B33" s="60"/>
      <c r="C33" s="57"/>
    </row>
    <row r="34" spans="1:3" ht="27" customHeight="1" x14ac:dyDescent="0.3">
      <c r="A34" s="57"/>
      <c r="B34" s="60"/>
      <c r="C34" s="57"/>
    </row>
    <row r="35" spans="1:3" ht="27" customHeight="1" x14ac:dyDescent="0.3">
      <c r="A35" s="57"/>
      <c r="B35" s="60"/>
      <c r="C35" s="57"/>
    </row>
    <row r="36" spans="1:3" ht="27" customHeight="1" x14ac:dyDescent="0.3">
      <c r="A36" s="57"/>
      <c r="B36" s="60"/>
      <c r="C36" s="57"/>
    </row>
    <row r="37" spans="1:3" ht="27" customHeight="1" x14ac:dyDescent="0.3">
      <c r="A37" s="57"/>
      <c r="B37" s="60"/>
      <c r="C37" s="57"/>
    </row>
    <row r="38" spans="1:3" ht="27" customHeight="1" x14ac:dyDescent="0.3">
      <c r="A38" s="57"/>
      <c r="B38" s="60"/>
      <c r="C38" s="57"/>
    </row>
    <row r="39" spans="1:3" ht="27" customHeight="1" x14ac:dyDescent="0.3">
      <c r="A39" s="57"/>
      <c r="B39" s="60"/>
      <c r="C39" s="57"/>
    </row>
    <row r="40" spans="1:3" ht="27" customHeight="1" x14ac:dyDescent="0.3">
      <c r="A40" s="57"/>
      <c r="B40" s="60"/>
      <c r="C40" s="57"/>
    </row>
    <row r="41" spans="1:3" ht="27" customHeight="1" x14ac:dyDescent="0.3">
      <c r="A41" s="57"/>
      <c r="B41" s="60"/>
      <c r="C41" s="57"/>
    </row>
    <row r="42" spans="1:3" ht="27" customHeight="1" x14ac:dyDescent="0.3">
      <c r="A42" s="57"/>
      <c r="B42" s="60"/>
      <c r="C42" s="57"/>
    </row>
    <row r="43" spans="1:3" ht="27" customHeight="1" x14ac:dyDescent="0.3">
      <c r="A43" s="57"/>
      <c r="B43" s="60"/>
      <c r="C43" s="57"/>
    </row>
    <row r="44" spans="1:3" ht="27" customHeight="1" x14ac:dyDescent="0.3">
      <c r="A44" s="57"/>
      <c r="B44" s="60"/>
      <c r="C44" s="57"/>
    </row>
    <row r="45" spans="1:3" ht="27" customHeight="1" x14ac:dyDescent="0.3">
      <c r="A45" s="57"/>
      <c r="B45" s="60"/>
      <c r="C45" s="57"/>
    </row>
    <row r="46" spans="1:3" ht="27" customHeight="1" x14ac:dyDescent="0.3">
      <c r="A46" s="57"/>
      <c r="B46" s="60"/>
      <c r="C46" s="57"/>
    </row>
    <row r="47" spans="1:3" ht="27" customHeight="1" x14ac:dyDescent="0.3">
      <c r="A47" s="57"/>
      <c r="B47" s="60"/>
      <c r="C47" s="57"/>
    </row>
    <row r="48" spans="1:3" ht="27" customHeight="1" x14ac:dyDescent="0.3">
      <c r="A48" s="57"/>
      <c r="B48" s="60"/>
      <c r="C48" s="57"/>
    </row>
    <row r="49" spans="1:3" ht="27" customHeight="1" x14ac:dyDescent="0.3">
      <c r="A49" s="57"/>
      <c r="B49" s="60"/>
      <c r="C49" s="57"/>
    </row>
    <row r="50" spans="1:3" ht="27" customHeight="1" x14ac:dyDescent="0.3">
      <c r="A50" s="57"/>
      <c r="B50" s="60"/>
      <c r="C50" s="57"/>
    </row>
    <row r="51" spans="1:3" ht="27" customHeight="1" x14ac:dyDescent="0.3">
      <c r="A51" s="57"/>
      <c r="B51" s="60"/>
      <c r="C51" s="57"/>
    </row>
    <row r="52" spans="1:3" ht="27" customHeight="1" x14ac:dyDescent="0.3">
      <c r="A52" s="57"/>
      <c r="B52" s="60"/>
      <c r="C52" s="57"/>
    </row>
    <row r="53" spans="1:3" ht="27" customHeight="1" x14ac:dyDescent="0.3">
      <c r="A53" s="57"/>
      <c r="B53" s="60"/>
      <c r="C53" s="57"/>
    </row>
    <row r="54" spans="1:3" ht="27" customHeight="1" x14ac:dyDescent="0.3">
      <c r="A54" s="57"/>
      <c r="B54" s="60"/>
      <c r="C54" s="57"/>
    </row>
    <row r="55" spans="1:3" ht="27" customHeight="1" x14ac:dyDescent="0.3">
      <c r="A55" s="57"/>
      <c r="B55" s="60"/>
      <c r="C55" s="57"/>
    </row>
    <row r="56" spans="1:3" ht="27" customHeight="1" x14ac:dyDescent="0.3">
      <c r="A56" s="57"/>
      <c r="B56" s="60"/>
      <c r="C56" s="57"/>
    </row>
    <row r="57" spans="1:3" ht="27" customHeight="1" x14ac:dyDescent="0.3">
      <c r="A57" s="57"/>
      <c r="B57" s="60"/>
      <c r="C57" s="57"/>
    </row>
    <row r="58" spans="1:3" ht="27" customHeight="1" x14ac:dyDescent="0.3">
      <c r="A58" s="57"/>
      <c r="B58" s="60"/>
      <c r="C58" s="57"/>
    </row>
    <row r="59" spans="1:3" ht="27" customHeight="1" x14ac:dyDescent="0.3">
      <c r="A59" s="57"/>
      <c r="B59" s="60"/>
      <c r="C59" s="57"/>
    </row>
    <row r="60" spans="1:3" ht="27" customHeight="1" x14ac:dyDescent="0.3">
      <c r="A60" s="57"/>
      <c r="B60" s="60"/>
      <c r="C60" s="57"/>
    </row>
    <row r="61" spans="1:3" ht="27" customHeight="1" x14ac:dyDescent="0.3">
      <c r="A61" s="57"/>
      <c r="B61" s="60"/>
      <c r="C61" s="57"/>
    </row>
    <row r="62" spans="1:3" ht="27" customHeight="1" x14ac:dyDescent="0.3">
      <c r="A62" s="57"/>
      <c r="B62" s="60"/>
      <c r="C62" s="57"/>
    </row>
    <row r="63" spans="1:3" ht="27" customHeight="1" x14ac:dyDescent="0.3">
      <c r="A63" s="57"/>
      <c r="B63" s="60"/>
      <c r="C63" s="57"/>
    </row>
    <row r="64" spans="1:3" ht="27" customHeight="1" x14ac:dyDescent="0.3">
      <c r="A64" s="57"/>
      <c r="B64" s="60"/>
      <c r="C64" s="57"/>
    </row>
    <row r="65" spans="1:3" ht="27" customHeight="1" x14ac:dyDescent="0.3">
      <c r="A65" s="57"/>
      <c r="B65" s="60"/>
      <c r="C65" s="57"/>
    </row>
    <row r="66" spans="1:3" ht="27" customHeight="1" x14ac:dyDescent="0.3">
      <c r="A66" s="57"/>
      <c r="B66" s="60"/>
      <c r="C66" s="57"/>
    </row>
    <row r="67" spans="1:3" ht="27" customHeight="1" x14ac:dyDescent="0.3">
      <c r="A67" s="57"/>
      <c r="B67" s="60"/>
      <c r="C67" s="57"/>
    </row>
    <row r="68" spans="1:3" ht="27" customHeight="1" x14ac:dyDescent="0.3">
      <c r="A68" s="57"/>
      <c r="B68" s="60"/>
      <c r="C68" s="57"/>
    </row>
    <row r="69" spans="1:3" ht="27" customHeight="1" x14ac:dyDescent="0.3">
      <c r="A69" s="57"/>
      <c r="B69" s="60"/>
      <c r="C69" s="57"/>
    </row>
    <row r="70" spans="1:3" ht="27" customHeight="1" x14ac:dyDescent="0.3">
      <c r="A70" s="57"/>
      <c r="B70" s="60"/>
      <c r="C70" s="57"/>
    </row>
    <row r="71" spans="1:3" ht="27" customHeight="1" x14ac:dyDescent="0.3">
      <c r="A71" s="57"/>
      <c r="B71" s="60"/>
      <c r="C71" s="57"/>
    </row>
    <row r="72" spans="1:3" ht="27" customHeight="1" x14ac:dyDescent="0.3">
      <c r="A72" s="57"/>
      <c r="B72" s="60"/>
      <c r="C72" s="57"/>
    </row>
    <row r="73" spans="1:3" ht="27" customHeight="1" x14ac:dyDescent="0.3">
      <c r="A73" s="57"/>
      <c r="B73" s="60"/>
      <c r="C73" s="57"/>
    </row>
    <row r="74" spans="1:3" ht="27" customHeight="1" x14ac:dyDescent="0.3">
      <c r="A74" s="57"/>
      <c r="B74" s="60"/>
      <c r="C74" s="57"/>
    </row>
    <row r="75" spans="1:3" ht="27" customHeight="1" x14ac:dyDescent="0.3">
      <c r="A75" s="57"/>
      <c r="B75" s="60"/>
      <c r="C75" s="57"/>
    </row>
    <row r="76" spans="1:3" ht="27" customHeight="1" x14ac:dyDescent="0.3">
      <c r="A76" s="57"/>
      <c r="B76" s="60"/>
      <c r="C76" s="57"/>
    </row>
    <row r="77" spans="1:3" ht="27" customHeight="1" x14ac:dyDescent="0.3">
      <c r="A77" s="57"/>
      <c r="B77" s="60"/>
      <c r="C77" s="57"/>
    </row>
    <row r="78" spans="1:3" ht="27" customHeight="1" x14ac:dyDescent="0.3">
      <c r="A78" s="57"/>
      <c r="B78" s="60"/>
      <c r="C78" s="57"/>
    </row>
    <row r="79" spans="1:3" ht="27" customHeight="1" x14ac:dyDescent="0.3">
      <c r="A79" s="57"/>
      <c r="B79" s="60"/>
      <c r="C79" s="57"/>
    </row>
    <row r="80" spans="1:3" ht="27" customHeight="1" x14ac:dyDescent="0.3">
      <c r="A80" s="57"/>
      <c r="B80" s="60"/>
      <c r="C80" s="57"/>
    </row>
    <row r="81" spans="1:3" ht="27" customHeight="1" x14ac:dyDescent="0.3">
      <c r="A81" s="57"/>
      <c r="B81" s="60"/>
      <c r="C81" s="57"/>
    </row>
    <row r="82" spans="1:3" ht="27" customHeight="1" x14ac:dyDescent="0.3">
      <c r="A82" s="57"/>
      <c r="B82" s="60"/>
      <c r="C82" s="57"/>
    </row>
    <row r="83" spans="1:3" ht="27" customHeight="1" x14ac:dyDescent="0.3">
      <c r="A83" s="57"/>
      <c r="B83" s="60"/>
      <c r="C83" s="57"/>
    </row>
    <row r="84" spans="1:3" ht="27" customHeight="1" x14ac:dyDescent="0.3">
      <c r="A84" s="57"/>
      <c r="B84" s="60"/>
      <c r="C84" s="57"/>
    </row>
    <row r="85" spans="1:3" ht="27" customHeight="1" x14ac:dyDescent="0.3">
      <c r="A85" s="57"/>
      <c r="B85" s="60"/>
      <c r="C85" s="57"/>
    </row>
    <row r="86" spans="1:3" ht="27" customHeight="1" x14ac:dyDescent="0.3">
      <c r="A86" s="57"/>
      <c r="B86" s="60"/>
      <c r="C86" s="57"/>
    </row>
    <row r="87" spans="1:3" ht="27" customHeight="1" x14ac:dyDescent="0.3">
      <c r="A87" s="57"/>
      <c r="B87" s="60"/>
      <c r="C87" s="57"/>
    </row>
    <row r="88" spans="1:3" ht="27" customHeight="1" x14ac:dyDescent="0.3">
      <c r="A88" s="57"/>
      <c r="B88" s="60"/>
      <c r="C88" s="57"/>
    </row>
    <row r="89" spans="1:3" ht="27" customHeight="1" x14ac:dyDescent="0.3">
      <c r="A89" s="57"/>
      <c r="B89" s="60"/>
      <c r="C89" s="57"/>
    </row>
    <row r="90" spans="1:3" ht="27" customHeight="1" x14ac:dyDescent="0.3">
      <c r="A90" s="57"/>
      <c r="B90" s="60"/>
      <c r="C90" s="57"/>
    </row>
    <row r="91" spans="1:3" ht="27" customHeight="1" x14ac:dyDescent="0.3">
      <c r="A91" s="57"/>
      <c r="B91" s="60"/>
      <c r="C91" s="57"/>
    </row>
    <row r="92" spans="1:3" ht="27" customHeight="1" x14ac:dyDescent="0.3">
      <c r="A92" s="57"/>
      <c r="B92" s="60"/>
      <c r="C92" s="57"/>
    </row>
    <row r="93" spans="1:3" ht="27" customHeight="1" x14ac:dyDescent="0.3">
      <c r="A93" s="57"/>
      <c r="B93" s="60"/>
      <c r="C93" s="57"/>
    </row>
    <row r="94" spans="1:3" ht="27" customHeight="1" x14ac:dyDescent="0.3">
      <c r="A94" s="57"/>
      <c r="B94" s="60"/>
      <c r="C94" s="57"/>
    </row>
    <row r="95" spans="1:3" ht="27" customHeight="1" x14ac:dyDescent="0.3">
      <c r="A95" s="57"/>
      <c r="B95" s="60"/>
      <c r="C95" s="57"/>
    </row>
    <row r="96" spans="1:3" ht="27" customHeight="1" x14ac:dyDescent="0.3">
      <c r="A96" s="57"/>
      <c r="B96" s="60"/>
      <c r="C96" s="57"/>
    </row>
    <row r="97" spans="1:3" ht="27" customHeight="1" x14ac:dyDescent="0.3">
      <c r="A97" s="57"/>
      <c r="B97" s="60"/>
      <c r="C97" s="57"/>
    </row>
    <row r="98" spans="1:3" ht="27" customHeight="1" x14ac:dyDescent="0.3">
      <c r="A98" s="57"/>
      <c r="B98" s="60"/>
      <c r="C98" s="57"/>
    </row>
    <row r="99" spans="1:3" ht="27" customHeight="1" x14ac:dyDescent="0.3">
      <c r="A99" s="57"/>
      <c r="B99" s="60"/>
      <c r="C99" s="57"/>
    </row>
    <row r="100" spans="1:3" ht="27" customHeight="1" x14ac:dyDescent="0.3">
      <c r="A100" s="57"/>
      <c r="B100" s="60"/>
      <c r="C100" s="57"/>
    </row>
    <row r="101" spans="1:3" ht="27" customHeight="1" x14ac:dyDescent="0.3">
      <c r="A101" s="57"/>
      <c r="B101" s="60"/>
      <c r="C101" s="57"/>
    </row>
    <row r="102" spans="1:3" ht="27" customHeight="1" x14ac:dyDescent="0.3">
      <c r="A102" s="57"/>
      <c r="B102" s="60"/>
      <c r="C102" s="57"/>
    </row>
    <row r="103" spans="1:3" ht="27" customHeight="1" x14ac:dyDescent="0.3">
      <c r="A103" s="57"/>
      <c r="B103" s="60"/>
      <c r="C103" s="57"/>
    </row>
    <row r="104" spans="1:3" ht="27" customHeight="1" x14ac:dyDescent="0.3">
      <c r="A104" s="57"/>
      <c r="B104" s="60"/>
      <c r="C104" s="57"/>
    </row>
    <row r="105" spans="1:3" ht="27" customHeight="1" x14ac:dyDescent="0.3">
      <c r="A105" s="57"/>
      <c r="B105" s="60"/>
      <c r="C105" s="57"/>
    </row>
    <row r="106" spans="1:3" ht="27" customHeight="1" x14ac:dyDescent="0.3">
      <c r="A106" s="57"/>
      <c r="B106" s="60"/>
      <c r="C106" s="57"/>
    </row>
    <row r="107" spans="1:3" ht="27" customHeight="1" x14ac:dyDescent="0.3">
      <c r="A107" s="57"/>
      <c r="B107" s="60"/>
      <c r="C107" s="57"/>
    </row>
    <row r="108" spans="1:3" ht="27" customHeight="1" x14ac:dyDescent="0.3">
      <c r="A108" s="57"/>
      <c r="B108" s="60"/>
      <c r="C108" s="57"/>
    </row>
    <row r="109" spans="1:3" ht="27" customHeight="1" x14ac:dyDescent="0.3">
      <c r="A109" s="57"/>
      <c r="B109" s="60"/>
      <c r="C109" s="57"/>
    </row>
    <row r="110" spans="1:3" ht="27" customHeight="1" x14ac:dyDescent="0.3">
      <c r="A110" s="57"/>
      <c r="B110" s="60"/>
      <c r="C110" s="57"/>
    </row>
    <row r="111" spans="1:3" ht="27" customHeight="1" x14ac:dyDescent="0.3">
      <c r="A111" s="57"/>
      <c r="B111" s="60"/>
      <c r="C111" s="57"/>
    </row>
    <row r="112" spans="1:3" ht="27" customHeight="1" x14ac:dyDescent="0.3">
      <c r="A112" s="57"/>
      <c r="B112" s="60"/>
      <c r="C112" s="57"/>
    </row>
    <row r="113" spans="1:3" ht="27" customHeight="1" x14ac:dyDescent="0.3">
      <c r="A113" s="57"/>
      <c r="B113" s="60"/>
      <c r="C113" s="57"/>
    </row>
    <row r="114" spans="1:3" ht="27" customHeight="1" x14ac:dyDescent="0.3">
      <c r="A114" s="57"/>
      <c r="B114" s="60"/>
      <c r="C114" s="57"/>
    </row>
    <row r="115" spans="1:3" ht="27" customHeight="1" x14ac:dyDescent="0.3">
      <c r="A115" s="57"/>
      <c r="B115" s="60"/>
      <c r="C115" s="57"/>
    </row>
    <row r="116" spans="1:3" ht="27" customHeight="1" x14ac:dyDescent="0.3">
      <c r="A116" s="57"/>
      <c r="B116" s="60"/>
      <c r="C116" s="57"/>
    </row>
    <row r="117" spans="1:3" ht="27" customHeight="1" x14ac:dyDescent="0.3">
      <c r="A117" s="57"/>
      <c r="B117" s="60"/>
      <c r="C117" s="57"/>
    </row>
    <row r="118" spans="1:3" ht="27" customHeight="1" x14ac:dyDescent="0.3">
      <c r="A118" s="57"/>
      <c r="B118" s="60"/>
      <c r="C118" s="57"/>
    </row>
    <row r="119" spans="1:3" ht="27" customHeight="1" x14ac:dyDescent="0.3">
      <c r="A119" s="57"/>
      <c r="B119" s="60"/>
      <c r="C119" s="57"/>
    </row>
    <row r="120" spans="1:3" ht="27" customHeight="1" x14ac:dyDescent="0.3">
      <c r="A120" s="57"/>
      <c r="B120" s="60"/>
      <c r="C120" s="57"/>
    </row>
    <row r="121" spans="1:3" ht="27" customHeight="1" x14ac:dyDescent="0.3">
      <c r="A121" s="57"/>
      <c r="B121" s="60"/>
      <c r="C121" s="57"/>
    </row>
    <row r="122" spans="1:3" ht="27" customHeight="1" x14ac:dyDescent="0.3">
      <c r="A122" s="57"/>
      <c r="B122" s="60"/>
      <c r="C122" s="57"/>
    </row>
    <row r="123" spans="1:3" ht="27" customHeight="1" x14ac:dyDescent="0.3">
      <c r="A123" s="57"/>
      <c r="B123" s="60"/>
      <c r="C123" s="57"/>
    </row>
    <row r="124" spans="1:3" ht="27" customHeight="1" x14ac:dyDescent="0.3">
      <c r="A124" s="57"/>
      <c r="B124" s="60"/>
      <c r="C124" s="57"/>
    </row>
    <row r="125" spans="1:3" ht="27" customHeight="1" x14ac:dyDescent="0.3">
      <c r="A125" s="57"/>
      <c r="B125" s="60"/>
      <c r="C125" s="57"/>
    </row>
    <row r="126" spans="1:3" ht="27" customHeight="1" x14ac:dyDescent="0.3">
      <c r="A126" s="57"/>
      <c r="B126" s="60"/>
      <c r="C126" s="57"/>
    </row>
    <row r="127" spans="1:3" ht="27" customHeight="1" x14ac:dyDescent="0.3">
      <c r="A127" s="57"/>
      <c r="B127" s="60"/>
      <c r="C127" s="57"/>
    </row>
    <row r="128" spans="1:3" ht="27" customHeight="1" x14ac:dyDescent="0.3">
      <c r="A128" s="57"/>
      <c r="B128" s="60"/>
      <c r="C128" s="57"/>
    </row>
    <row r="129" spans="1:3" ht="27" customHeight="1" x14ac:dyDescent="0.3">
      <c r="A129" s="57"/>
      <c r="B129" s="60"/>
      <c r="C129" s="57"/>
    </row>
    <row r="130" spans="1:3" ht="27" customHeight="1" x14ac:dyDescent="0.3">
      <c r="A130" s="57"/>
      <c r="B130" s="60"/>
      <c r="C130" s="57"/>
    </row>
    <row r="131" spans="1:3" ht="27" customHeight="1" x14ac:dyDescent="0.3">
      <c r="A131" s="57"/>
      <c r="B131" s="60"/>
      <c r="C131" s="57"/>
    </row>
    <row r="132" spans="1:3" ht="27" customHeight="1" x14ac:dyDescent="0.3">
      <c r="A132" s="57"/>
      <c r="B132" s="60"/>
      <c r="C132" s="57"/>
    </row>
    <row r="133" spans="1:3" ht="27" customHeight="1" x14ac:dyDescent="0.3">
      <c r="A133" s="57"/>
      <c r="B133" s="60"/>
      <c r="C133" s="57"/>
    </row>
    <row r="134" spans="1:3" ht="27" customHeight="1" x14ac:dyDescent="0.3">
      <c r="A134" s="57"/>
      <c r="B134" s="60"/>
      <c r="C134" s="57"/>
    </row>
    <row r="135" spans="1:3" ht="27" customHeight="1" x14ac:dyDescent="0.3">
      <c r="A135" s="57"/>
      <c r="B135" s="60"/>
      <c r="C135" s="57"/>
    </row>
    <row r="136" spans="1:3" ht="27" customHeight="1" x14ac:dyDescent="0.3">
      <c r="A136" s="57"/>
      <c r="B136" s="60"/>
      <c r="C136" s="57"/>
    </row>
    <row r="137" spans="1:3" ht="27" customHeight="1" x14ac:dyDescent="0.3">
      <c r="A137" s="57"/>
      <c r="B137" s="60"/>
      <c r="C137" s="57"/>
    </row>
    <row r="138" spans="1:3" ht="27" customHeight="1" x14ac:dyDescent="0.3">
      <c r="A138" s="57"/>
      <c r="B138" s="60"/>
      <c r="C138" s="57"/>
    </row>
    <row r="139" spans="1:3" ht="27" customHeight="1" x14ac:dyDescent="0.3">
      <c r="A139" s="57"/>
      <c r="B139" s="60"/>
      <c r="C139" s="57"/>
    </row>
    <row r="140" spans="1:3" ht="27" customHeight="1" x14ac:dyDescent="0.3">
      <c r="A140" s="57"/>
      <c r="B140" s="60"/>
      <c r="C140" s="57"/>
    </row>
    <row r="141" spans="1:3" ht="27" customHeight="1" x14ac:dyDescent="0.3">
      <c r="A141" s="57"/>
      <c r="B141" s="60"/>
      <c r="C141" s="57"/>
    </row>
    <row r="142" spans="1:3" ht="27" customHeight="1" x14ac:dyDescent="0.3">
      <c r="A142" s="57"/>
      <c r="B142" s="60"/>
      <c r="C142" s="57"/>
    </row>
    <row r="143" spans="1:3" ht="27" customHeight="1" x14ac:dyDescent="0.3">
      <c r="A143" s="57"/>
      <c r="B143" s="60"/>
      <c r="C143" s="57"/>
    </row>
    <row r="144" spans="1:3" ht="27" customHeight="1" x14ac:dyDescent="0.3">
      <c r="A144" s="57"/>
      <c r="B144" s="60"/>
      <c r="C144" s="57"/>
    </row>
    <row r="145" spans="1:3" ht="27" customHeight="1" x14ac:dyDescent="0.3">
      <c r="A145" s="57"/>
      <c r="B145" s="60"/>
      <c r="C145" s="57"/>
    </row>
    <row r="146" spans="1:3" ht="27" customHeight="1" x14ac:dyDescent="0.3">
      <c r="A146" s="57"/>
      <c r="B146" s="60"/>
      <c r="C146" s="57"/>
    </row>
    <row r="147" spans="1:3" ht="27" customHeight="1" x14ac:dyDescent="0.3">
      <c r="A147" s="57"/>
      <c r="B147" s="60"/>
      <c r="C147" s="57"/>
    </row>
    <row r="148" spans="1:3" ht="27" customHeight="1" x14ac:dyDescent="0.3">
      <c r="A148" s="57"/>
      <c r="B148" s="60"/>
      <c r="C148" s="57"/>
    </row>
    <row r="149" spans="1:3" ht="27" customHeight="1" x14ac:dyDescent="0.3">
      <c r="A149" s="57"/>
      <c r="B149" s="60"/>
      <c r="C149" s="57"/>
    </row>
    <row r="150" spans="1:3" ht="27" customHeight="1" x14ac:dyDescent="0.3">
      <c r="A150" s="57"/>
      <c r="B150" s="60"/>
      <c r="C150" s="57"/>
    </row>
    <row r="151" spans="1:3" ht="27" customHeight="1" x14ac:dyDescent="0.3">
      <c r="A151" s="57"/>
      <c r="B151" s="60"/>
      <c r="C151" s="57"/>
    </row>
    <row r="152" spans="1:3" ht="27" customHeight="1" x14ac:dyDescent="0.3">
      <c r="A152" s="57"/>
      <c r="B152" s="60"/>
      <c r="C152" s="57"/>
    </row>
    <row r="153" spans="1:3" ht="27" customHeight="1" x14ac:dyDescent="0.3">
      <c r="A153" s="57"/>
      <c r="B153" s="60"/>
      <c r="C153" s="57"/>
    </row>
    <row r="154" spans="1:3" ht="27" customHeight="1" x14ac:dyDescent="0.3">
      <c r="A154" s="57"/>
      <c r="B154" s="60"/>
      <c r="C154" s="57"/>
    </row>
    <row r="155" spans="1:3" ht="27" customHeight="1" x14ac:dyDescent="0.3">
      <c r="A155" s="57"/>
      <c r="B155" s="60"/>
      <c r="C155" s="57"/>
    </row>
    <row r="156" spans="1:3" ht="27" customHeight="1" x14ac:dyDescent="0.3">
      <c r="A156" s="57"/>
      <c r="B156" s="60"/>
      <c r="C156" s="57"/>
    </row>
    <row r="157" spans="1:3" ht="27" customHeight="1" x14ac:dyDescent="0.3">
      <c r="A157" s="57"/>
      <c r="B157" s="60"/>
      <c r="C157" s="57"/>
    </row>
    <row r="158" spans="1:3" ht="27" customHeight="1" x14ac:dyDescent="0.3">
      <c r="A158" s="57"/>
      <c r="B158" s="60"/>
      <c r="C158" s="57"/>
    </row>
    <row r="159" spans="1:3" ht="27" customHeight="1" x14ac:dyDescent="0.3">
      <c r="A159" s="57"/>
      <c r="B159" s="60"/>
      <c r="C159" s="57"/>
    </row>
    <row r="160" spans="1:3" ht="27" customHeight="1" x14ac:dyDescent="0.3">
      <c r="A160" s="57"/>
      <c r="B160" s="60"/>
      <c r="C160" s="57"/>
    </row>
    <row r="161" spans="1:3" ht="27" customHeight="1" x14ac:dyDescent="0.3">
      <c r="A161" s="57"/>
      <c r="B161" s="60"/>
      <c r="C161" s="57"/>
    </row>
    <row r="162" spans="1:3" ht="27" customHeight="1" x14ac:dyDescent="0.3">
      <c r="A162" s="57"/>
      <c r="B162" s="60"/>
      <c r="C162" s="57"/>
    </row>
    <row r="163" spans="1:3" ht="27" customHeight="1" x14ac:dyDescent="0.3">
      <c r="A163" s="57"/>
      <c r="B163" s="60"/>
      <c r="C163" s="57"/>
    </row>
    <row r="164" spans="1:3" ht="27" customHeight="1" x14ac:dyDescent="0.3">
      <c r="A164" s="57"/>
      <c r="B164" s="60"/>
      <c r="C164" s="57"/>
    </row>
    <row r="165" spans="1:3" ht="27" customHeight="1" x14ac:dyDescent="0.3">
      <c r="A165" s="57"/>
      <c r="B165" s="60"/>
      <c r="C165" s="57"/>
    </row>
    <row r="166" spans="1:3" ht="27" customHeight="1" x14ac:dyDescent="0.3">
      <c r="A166" s="57"/>
      <c r="B166" s="60"/>
      <c r="C166" s="57"/>
    </row>
    <row r="167" spans="1:3" ht="27" customHeight="1" x14ac:dyDescent="0.3">
      <c r="A167" s="57"/>
      <c r="B167" s="60"/>
      <c r="C167" s="57"/>
    </row>
    <row r="168" spans="1:3" ht="27" customHeight="1" x14ac:dyDescent="0.3">
      <c r="A168" s="57"/>
      <c r="B168" s="60"/>
      <c r="C168" s="57"/>
    </row>
    <row r="169" spans="1:3" ht="27" customHeight="1" x14ac:dyDescent="0.3">
      <c r="A169" s="57"/>
      <c r="B169" s="60"/>
      <c r="C169" s="57"/>
    </row>
    <row r="170" spans="1:3" ht="27" customHeight="1" x14ac:dyDescent="0.3">
      <c r="A170" s="57"/>
      <c r="B170" s="60"/>
      <c r="C170" s="57"/>
    </row>
    <row r="171" spans="1:3" ht="27" customHeight="1" x14ac:dyDescent="0.3">
      <c r="A171" s="57"/>
      <c r="B171" s="60"/>
      <c r="C171" s="57"/>
    </row>
    <row r="172" spans="1:3" ht="27" customHeight="1" x14ac:dyDescent="0.3">
      <c r="A172" s="57"/>
      <c r="B172" s="60"/>
      <c r="C172" s="57"/>
    </row>
    <row r="173" spans="1:3" ht="27" customHeight="1" x14ac:dyDescent="0.3">
      <c r="A173" s="57"/>
      <c r="B173" s="60"/>
      <c r="C173" s="57"/>
    </row>
    <row r="174" spans="1:3" ht="27" customHeight="1" x14ac:dyDescent="0.3">
      <c r="A174" s="57"/>
      <c r="B174" s="60"/>
      <c r="C174" s="57"/>
    </row>
    <row r="175" spans="1:3" ht="27" customHeight="1" x14ac:dyDescent="0.3">
      <c r="A175" s="57"/>
      <c r="B175" s="60"/>
      <c r="C175" s="57"/>
    </row>
    <row r="176" spans="1:3" ht="27" customHeight="1" x14ac:dyDescent="0.3">
      <c r="A176" s="57"/>
      <c r="B176" s="60"/>
      <c r="C176" s="57"/>
    </row>
    <row r="177" spans="1:3" ht="27" customHeight="1" x14ac:dyDescent="0.3">
      <c r="A177" s="57"/>
      <c r="B177" s="60"/>
      <c r="C177" s="57"/>
    </row>
    <row r="178" spans="1:3" ht="27" customHeight="1" x14ac:dyDescent="0.3">
      <c r="A178" s="57"/>
      <c r="B178" s="60"/>
      <c r="C178" s="57"/>
    </row>
    <row r="179" spans="1:3" ht="27" customHeight="1" x14ac:dyDescent="0.3">
      <c r="A179" s="57"/>
      <c r="B179" s="60"/>
      <c r="C179" s="57"/>
    </row>
    <row r="180" spans="1:3" ht="27" customHeight="1" x14ac:dyDescent="0.3">
      <c r="A180" s="57"/>
      <c r="B180" s="60"/>
      <c r="C180" s="57"/>
    </row>
    <row r="181" spans="1:3" ht="27" customHeight="1" x14ac:dyDescent="0.3">
      <c r="A181" s="57"/>
      <c r="B181" s="60"/>
      <c r="C181" s="57"/>
    </row>
    <row r="182" spans="1:3" ht="27" customHeight="1" x14ac:dyDescent="0.3">
      <c r="A182" s="57"/>
      <c r="B182" s="60"/>
      <c r="C182" s="57"/>
    </row>
    <row r="183" spans="1:3" ht="27" customHeight="1" x14ac:dyDescent="0.3">
      <c r="A183" s="57"/>
      <c r="B183" s="60"/>
      <c r="C183" s="57"/>
    </row>
    <row r="184" spans="1:3" ht="27" customHeight="1" x14ac:dyDescent="0.3">
      <c r="A184" s="57"/>
      <c r="B184" s="60"/>
      <c r="C184" s="57"/>
    </row>
    <row r="185" spans="1:3" ht="27" customHeight="1" x14ac:dyDescent="0.3">
      <c r="A185" s="57"/>
      <c r="B185" s="60"/>
      <c r="C185" s="57"/>
    </row>
    <row r="186" spans="1:3" ht="27" customHeight="1" x14ac:dyDescent="0.3">
      <c r="A186" s="57"/>
      <c r="B186" s="60"/>
      <c r="C186" s="57"/>
    </row>
    <row r="187" spans="1:3" ht="27" customHeight="1" x14ac:dyDescent="0.3">
      <c r="A187" s="57"/>
      <c r="B187" s="60"/>
      <c r="C187" s="57"/>
    </row>
    <row r="188" spans="1:3" ht="27" customHeight="1" x14ac:dyDescent="0.3">
      <c r="A188" s="57"/>
      <c r="B188" s="60"/>
      <c r="C188" s="57"/>
    </row>
    <row r="189" spans="1:3" ht="27" customHeight="1" x14ac:dyDescent="0.3">
      <c r="A189" s="57"/>
      <c r="B189" s="60"/>
      <c r="C189" s="57"/>
    </row>
    <row r="190" spans="1:3" ht="27" customHeight="1" x14ac:dyDescent="0.3">
      <c r="A190" s="57"/>
      <c r="B190" s="60"/>
      <c r="C190" s="57"/>
    </row>
    <row r="191" spans="1:3" ht="27" customHeight="1" x14ac:dyDescent="0.3">
      <c r="A191" s="57"/>
      <c r="B191" s="60"/>
      <c r="C191" s="57"/>
    </row>
    <row r="192" spans="1:3" ht="27" customHeight="1" x14ac:dyDescent="0.3">
      <c r="A192" s="57"/>
      <c r="B192" s="60"/>
      <c r="C192" s="57"/>
    </row>
    <row r="193" spans="1:3" ht="27" customHeight="1" x14ac:dyDescent="0.3">
      <c r="A193" s="57"/>
      <c r="B193" s="60"/>
      <c r="C193" s="57"/>
    </row>
    <row r="194" spans="1:3" ht="27" customHeight="1" x14ac:dyDescent="0.3">
      <c r="A194" s="57"/>
      <c r="B194" s="60"/>
      <c r="C194" s="57"/>
    </row>
    <row r="195" spans="1:3" ht="27" customHeight="1" x14ac:dyDescent="0.3">
      <c r="A195" s="57"/>
      <c r="B195" s="60"/>
      <c r="C195" s="57"/>
    </row>
    <row r="196" spans="1:3" ht="27" customHeight="1" x14ac:dyDescent="0.3">
      <c r="A196" s="57"/>
      <c r="B196" s="60"/>
      <c r="C196" s="57"/>
    </row>
    <row r="197" spans="1:3" ht="27" customHeight="1" x14ac:dyDescent="0.3">
      <c r="A197" s="57"/>
      <c r="B197" s="60"/>
      <c r="C197" s="57"/>
    </row>
    <row r="198" spans="1:3" ht="27" customHeight="1" x14ac:dyDescent="0.3">
      <c r="A198" s="57"/>
      <c r="B198" s="60"/>
      <c r="C198" s="57"/>
    </row>
    <row r="199" spans="1:3" ht="27" customHeight="1" x14ac:dyDescent="0.3">
      <c r="A199" s="57"/>
      <c r="B199" s="60"/>
      <c r="C199" s="57"/>
    </row>
    <row r="200" spans="1:3" ht="27" customHeight="1" x14ac:dyDescent="0.3">
      <c r="A200" s="57"/>
      <c r="B200" s="60"/>
      <c r="C200" s="57"/>
    </row>
    <row r="201" spans="1:3" ht="27" customHeight="1" x14ac:dyDescent="0.3">
      <c r="A201" s="57"/>
      <c r="B201" s="60"/>
      <c r="C201" s="57"/>
    </row>
    <row r="202" spans="1:3" ht="27" customHeight="1" x14ac:dyDescent="0.3">
      <c r="A202" s="57"/>
      <c r="B202" s="60"/>
      <c r="C202" s="57"/>
    </row>
    <row r="203" spans="1:3" ht="27" customHeight="1" x14ac:dyDescent="0.3">
      <c r="A203" s="57"/>
      <c r="B203" s="60"/>
      <c r="C203" s="57"/>
    </row>
    <row r="204" spans="1:3" ht="27" customHeight="1" x14ac:dyDescent="0.3">
      <c r="A204" s="57"/>
      <c r="B204" s="60"/>
      <c r="C204" s="57"/>
    </row>
    <row r="205" spans="1:3" ht="27" customHeight="1" x14ac:dyDescent="0.3">
      <c r="A205" s="57"/>
      <c r="B205" s="60"/>
      <c r="C205" s="57"/>
    </row>
    <row r="206" spans="1:3" ht="27" customHeight="1" x14ac:dyDescent="0.3">
      <c r="A206" s="57"/>
      <c r="B206" s="60"/>
      <c r="C206" s="57"/>
    </row>
    <row r="207" spans="1:3" ht="27" customHeight="1" x14ac:dyDescent="0.3">
      <c r="A207" s="57"/>
      <c r="B207" s="60"/>
      <c r="C207" s="57"/>
    </row>
    <row r="208" spans="1:3" ht="27" customHeight="1" x14ac:dyDescent="0.3">
      <c r="A208" s="57"/>
      <c r="B208" s="60"/>
      <c r="C208" s="57"/>
    </row>
    <row r="209" spans="1:3" ht="27" customHeight="1" x14ac:dyDescent="0.3">
      <c r="A209" s="57"/>
      <c r="B209" s="60"/>
      <c r="C209" s="57"/>
    </row>
    <row r="210" spans="1:3" ht="27" customHeight="1" x14ac:dyDescent="0.3">
      <c r="A210" s="57"/>
      <c r="B210" s="60"/>
      <c r="C210" s="57"/>
    </row>
    <row r="211" spans="1:3" ht="27" customHeight="1" x14ac:dyDescent="0.3">
      <c r="A211" s="57"/>
      <c r="B211" s="60"/>
      <c r="C211" s="57"/>
    </row>
    <row r="212" spans="1:3" ht="27" customHeight="1" x14ac:dyDescent="0.3">
      <c r="A212" s="57"/>
      <c r="B212" s="60"/>
      <c r="C212" s="57"/>
    </row>
    <row r="213" spans="1:3" ht="27" customHeight="1" x14ac:dyDescent="0.3">
      <c r="A213" s="57"/>
      <c r="B213" s="60"/>
      <c r="C213" s="57"/>
    </row>
    <row r="214" spans="1:3" ht="27" customHeight="1" x14ac:dyDescent="0.3">
      <c r="A214" s="57"/>
      <c r="B214" s="60"/>
      <c r="C214" s="57"/>
    </row>
    <row r="215" spans="1:3" ht="27" customHeight="1" x14ac:dyDescent="0.3">
      <c r="A215" s="57"/>
      <c r="B215" s="60"/>
      <c r="C215" s="57"/>
    </row>
    <row r="216" spans="1:3" ht="27" customHeight="1" x14ac:dyDescent="0.3">
      <c r="A216" s="57"/>
      <c r="B216" s="60"/>
      <c r="C216" s="57"/>
    </row>
    <row r="217" spans="1:3" ht="27" customHeight="1" x14ac:dyDescent="0.3">
      <c r="A217" s="57"/>
      <c r="B217" s="60"/>
      <c r="C217" s="57"/>
    </row>
    <row r="218" spans="1:3" ht="27" customHeight="1" x14ac:dyDescent="0.3">
      <c r="A218" s="57"/>
      <c r="B218" s="60"/>
      <c r="C218" s="57"/>
    </row>
    <row r="219" spans="1:3" ht="27" customHeight="1" x14ac:dyDescent="0.3">
      <c r="A219" s="57"/>
      <c r="B219" s="60"/>
      <c r="C219" s="57"/>
    </row>
    <row r="220" spans="1:3" ht="27" customHeight="1" x14ac:dyDescent="0.3">
      <c r="A220" s="57"/>
      <c r="B220" s="60"/>
      <c r="C220" s="57"/>
    </row>
    <row r="221" spans="1:3" ht="15.75" customHeight="1" x14ac:dyDescent="0.3"/>
    <row r="222" spans="1:3" ht="15.75" customHeight="1" x14ac:dyDescent="0.3"/>
    <row r="223" spans="1:3" ht="15.75" customHeight="1" x14ac:dyDescent="0.3"/>
    <row r="224" spans="1: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2024</vt:lpstr>
      <vt:lpstr>2025</vt:lpstr>
      <vt:lpstr>B L A N K</vt:lpstr>
      <vt:lpstr>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</dc:creator>
  <cp:lastModifiedBy>Melissa ÜSKÜPLÜ</cp:lastModifiedBy>
  <dcterms:created xsi:type="dcterms:W3CDTF">2026-04-14T15:51:22Z</dcterms:created>
  <dcterms:modified xsi:type="dcterms:W3CDTF">2026-04-14T15:51:22Z</dcterms:modified>
</cp:coreProperties>
</file>